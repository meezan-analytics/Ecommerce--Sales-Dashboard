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Meezan\Documents\"/>
    </mc:Choice>
  </mc:AlternateContent>
  <xr:revisionPtr revIDLastSave="0" documentId="8_{CF1EF4FB-7308-4832-B4A9-2D60A9088FC0}" xr6:coauthVersionLast="47" xr6:coauthVersionMax="47" xr10:uidLastSave="{00000000-0000-0000-0000-000000000000}"/>
  <bookViews>
    <workbookView xWindow="-120" yWindow="-120" windowWidth="20730" windowHeight="11160" activeTab="2" xr2:uid="{23120C0B-FC78-411F-99E7-132CEC34CF84}"/>
  </bookViews>
  <sheets>
    <sheet name="Sheet2" sheetId="3" r:id="rId1"/>
    <sheet name="ecommerce_100_rows" sheetId="2" r:id="rId2"/>
    <sheet name="Sheet1" sheetId="1" r:id="rId3"/>
  </sheets>
  <definedNames>
    <definedName name="ExternalData_1" localSheetId="1" hidden="1">ecommerce_100_rows!$A$1:$W$32</definedName>
    <definedName name="Slicer_Order_Month">#N/A</definedName>
    <definedName name="Slicer_OrderStatus">#N/A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C8" i="1" l="1"/>
  <c r="AD3" i="1"/>
  <c r="AB6" i="1"/>
  <c r="AB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C0EEBB6-3ADC-49FD-8153-95DAF10DBE17}" keepAlive="1" name="Query - ecommerce_100_rows" description="Connection to the 'ecommerce_100_rows' query in the workbook." type="5" refreshedVersion="8" background="1" saveData="1">
    <dbPr connection="Provider=Microsoft.Mashup.OleDb.1;Data Source=$Workbook$;Location=ecommerce_100_rows;Extended Properties=&quot;&quot;" command="SELECT * FROM [ecommerce_100_rows]"/>
  </connection>
</connections>
</file>

<file path=xl/sharedStrings.xml><?xml version="1.0" encoding="utf-8"?>
<sst xmlns="http://schemas.openxmlformats.org/spreadsheetml/2006/main" count="471" uniqueCount="154">
  <si>
    <t>OrderID</t>
  </si>
  <si>
    <t>OrderDate</t>
  </si>
  <si>
    <t>ShipDate</t>
  </si>
  <si>
    <t>CustomerID</t>
  </si>
  <si>
    <t>CustomerName</t>
  </si>
  <si>
    <t>City</t>
  </si>
  <si>
    <t>State</t>
  </si>
  <si>
    <t>Region</t>
  </si>
  <si>
    <t>ProductID</t>
  </si>
  <si>
    <t>ProductName</t>
  </si>
  <si>
    <t>Category</t>
  </si>
  <si>
    <t>Quantity</t>
  </si>
  <si>
    <t>UnitPrice</t>
  </si>
  <si>
    <t>Discount</t>
  </si>
  <si>
    <t>ShippingCost</t>
  </si>
  <si>
    <t>PaymentMode</t>
  </si>
  <si>
    <t>OrderStatus</t>
  </si>
  <si>
    <t>Total Sales</t>
  </si>
  <si>
    <t>Discount Value</t>
  </si>
  <si>
    <t>Net Sales</t>
  </si>
  <si>
    <t>Order Month</t>
  </si>
  <si>
    <t>Delhi</t>
  </si>
  <si>
    <t>North</t>
  </si>
  <si>
    <t>P105</t>
  </si>
  <si>
    <t>Keyboard</t>
  </si>
  <si>
    <t>Electronics</t>
  </si>
  <si>
    <t>UPI</t>
  </si>
  <si>
    <t>Returned</t>
  </si>
  <si>
    <t>February</t>
  </si>
  <si>
    <t>C002</t>
  </si>
  <si>
    <t>Customer_2</t>
  </si>
  <si>
    <t>Mumbai</t>
  </si>
  <si>
    <t>Maharashtra</t>
  </si>
  <si>
    <t>West</t>
  </si>
  <si>
    <t>P110</t>
  </si>
  <si>
    <t>Laptop</t>
  </si>
  <si>
    <t>Card</t>
  </si>
  <si>
    <t>Delivered</t>
  </si>
  <si>
    <t>P109</t>
  </si>
  <si>
    <t>Pen</t>
  </si>
  <si>
    <t>Stationery</t>
  </si>
  <si>
    <t>NetBanking</t>
  </si>
  <si>
    <t>C004</t>
  </si>
  <si>
    <t>Customer_4</t>
  </si>
  <si>
    <t>Kanpur</t>
  </si>
  <si>
    <t>Uttar Pradesh</t>
  </si>
  <si>
    <t>P107</t>
  </si>
  <si>
    <t>Bottle</t>
  </si>
  <si>
    <t>Home</t>
  </si>
  <si>
    <t>COD</t>
  </si>
  <si>
    <t>January</t>
  </si>
  <si>
    <t>P106</t>
  </si>
  <si>
    <t>Sofa</t>
  </si>
  <si>
    <t>Furniture</t>
  </si>
  <si>
    <t>P104</t>
  </si>
  <si>
    <t>Monitor</t>
  </si>
  <si>
    <t>Cancelled</t>
  </si>
  <si>
    <t>Chandigarh</t>
  </si>
  <si>
    <t>Punjab</t>
  </si>
  <si>
    <t>Notebook</t>
  </si>
  <si>
    <t>Bhopal</t>
  </si>
  <si>
    <t>Madhya Pradesh</t>
  </si>
  <si>
    <t>Central</t>
  </si>
  <si>
    <t>Jaipur</t>
  </si>
  <si>
    <t>Rajasthan</t>
  </si>
  <si>
    <t>C011</t>
  </si>
  <si>
    <t>Customer_11</t>
  </si>
  <si>
    <t>Lucknow</t>
  </si>
  <si>
    <t>P108</t>
  </si>
  <si>
    <t>Table</t>
  </si>
  <si>
    <t>C015</t>
  </si>
  <si>
    <t>Customer_15</t>
  </si>
  <si>
    <t>Ahmedabad</t>
  </si>
  <si>
    <t>Gujarat</t>
  </si>
  <si>
    <t>Chair</t>
  </si>
  <si>
    <t>March</t>
  </si>
  <si>
    <t>C021</t>
  </si>
  <si>
    <t>Customer_21</t>
  </si>
  <si>
    <t>C026</t>
  </si>
  <si>
    <t>Customer_26</t>
  </si>
  <si>
    <t>P101</t>
  </si>
  <si>
    <t>Mouse</t>
  </si>
  <si>
    <t>C028</t>
  </si>
  <si>
    <t>Customer_28</t>
  </si>
  <si>
    <t>Kolkata</t>
  </si>
  <si>
    <t>West Bengal</t>
  </si>
  <si>
    <t>East</t>
  </si>
  <si>
    <t>C030</t>
  </si>
  <si>
    <t>Customer_30</t>
  </si>
  <si>
    <t>Indore</t>
  </si>
  <si>
    <t>C034</t>
  </si>
  <si>
    <t>Customer_34</t>
  </si>
  <si>
    <t>C036</t>
  </si>
  <si>
    <t>Customer_36</t>
  </si>
  <si>
    <t>C038</t>
  </si>
  <si>
    <t>Customer_38</t>
  </si>
  <si>
    <t>C039</t>
  </si>
  <si>
    <t>Customer_39</t>
  </si>
  <si>
    <t>C044</t>
  </si>
  <si>
    <t>Customer_44</t>
  </si>
  <si>
    <t>C046</t>
  </si>
  <si>
    <t>Customer_46</t>
  </si>
  <si>
    <t>C048</t>
  </si>
  <si>
    <t>Customer_48</t>
  </si>
  <si>
    <t>C050</t>
  </si>
  <si>
    <t>Customer_50</t>
  </si>
  <si>
    <t>C055</t>
  </si>
  <si>
    <t>Customer_55</t>
  </si>
  <si>
    <t>C057</t>
  </si>
  <si>
    <t>Customer_57</t>
  </si>
  <si>
    <t>C060</t>
  </si>
  <si>
    <t>Customer_60</t>
  </si>
  <si>
    <t>C061</t>
  </si>
  <si>
    <t>Customer_61</t>
  </si>
  <si>
    <t>C063</t>
  </si>
  <si>
    <t>Customer_63</t>
  </si>
  <si>
    <t>C066</t>
  </si>
  <si>
    <t>Customer_66</t>
  </si>
  <si>
    <t>C067</t>
  </si>
  <si>
    <t>Customer_67</t>
  </si>
  <si>
    <t>C070</t>
  </si>
  <si>
    <t>Customer_70</t>
  </si>
  <si>
    <t>C071</t>
  </si>
  <si>
    <t>Customer_71</t>
  </si>
  <si>
    <t>C074</t>
  </si>
  <si>
    <t>Customer_74</t>
  </si>
  <si>
    <t>C077</t>
  </si>
  <si>
    <t>Customer_77</t>
  </si>
  <si>
    <t>C078</t>
  </si>
  <si>
    <t>Customer_78</t>
  </si>
  <si>
    <t>C084</t>
  </si>
  <si>
    <t>Customer_84</t>
  </si>
  <si>
    <t>C087</t>
  </si>
  <si>
    <t>Customer_87</t>
  </si>
  <si>
    <t>C092</t>
  </si>
  <si>
    <t>Customer_92</t>
  </si>
  <si>
    <t>Row Labels</t>
  </si>
  <si>
    <t>Grand Total</t>
  </si>
  <si>
    <t>Total Sales By Category</t>
  </si>
  <si>
    <t>Sum of Net Sales</t>
  </si>
  <si>
    <t>Monthly Sales Trenz</t>
  </si>
  <si>
    <t>Sales by Region</t>
  </si>
  <si>
    <t>Order_Status</t>
  </si>
  <si>
    <t>Total Sales by Product</t>
  </si>
  <si>
    <t>Top 5 product by sales</t>
  </si>
  <si>
    <t>total profit</t>
  </si>
  <si>
    <t>Custom</t>
  </si>
  <si>
    <t>Custom.1</t>
  </si>
  <si>
    <t>"total Sales"</t>
  </si>
  <si>
    <t>Sum of Total Sales</t>
  </si>
  <si>
    <t>Count of OrderID</t>
  </si>
  <si>
    <t>Average of Total Sales</t>
  </si>
  <si>
    <t>total sales</t>
  </si>
  <si>
    <t>paymnet Distribution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</si>
</sst>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_ [$₹-4009]\ * #,##0.00_ ;_ [$₹-4009]\ * \-#,##0.00_ ;_ [$₹-4009]\ * &quot;-&quot;??_ ;_ @_ "/>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2"/>
        <bgColor indexed="64"/>
      </patternFill>
    </fill>
  </fills>
  <borders count="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medium">
        <color indexed="64"/>
      </bottom>
      <diagonal/>
    </border>
  </borders>
  <cellStyleXfs count="1">
    <xf numFmtId="0" fontId="0" fillId="0" borderId="0"/>
  </cellStyleXfs>
  <cellXfs count="20">
    <xf numFmtId="0" fontId="0" fillId="0" borderId="0" xfId="0"/>
    <xf numFmtId="14" fontId="0" fillId="0" borderId="0" xfId="0" applyNumberFormat="1"/>
    <xf numFmtId="0" fontId="0" fillId="0" borderId="4" xfId="0" applyBorder="1" applyAlignment="1">
      <alignment horizontal="left"/>
    </xf>
    <xf numFmtId="0" fontId="0" fillId="0" borderId="1" xfId="0" applyBorder="1"/>
    <xf numFmtId="0" fontId="0" fillId="0" borderId="2" xfId="0" pivotButton="1" applyBorder="1"/>
    <xf numFmtId="0" fontId="0" fillId="0" borderId="1" xfId="0" applyBorder="1" applyAlignment="1">
      <alignment horizontal="left"/>
    </xf>
    <xf numFmtId="164" fontId="0" fillId="0" borderId="5" xfId="0" applyNumberFormat="1" applyBorder="1"/>
    <xf numFmtId="164" fontId="0" fillId="0" borderId="7" xfId="0" applyNumberFormat="1" applyBorder="1"/>
    <xf numFmtId="164" fontId="0" fillId="0" borderId="6" xfId="0" applyNumberFormat="1" applyBorder="1"/>
    <xf numFmtId="0" fontId="0" fillId="0" borderId="1" xfId="0" pivotButton="1" applyBorder="1"/>
    <xf numFmtId="0" fontId="0" fillId="0" borderId="5" xfId="0" applyBorder="1" applyAlignment="1">
      <alignment horizontal="left"/>
    </xf>
    <xf numFmtId="0" fontId="0" fillId="0" borderId="7" xfId="0" applyBorder="1" applyAlignment="1">
      <alignment horizontal="left"/>
    </xf>
    <xf numFmtId="0" fontId="0" fillId="0" borderId="6" xfId="0" applyBorder="1" applyAlignment="1">
      <alignment horizontal="left"/>
    </xf>
    <xf numFmtId="164" fontId="0" fillId="0" borderId="1" xfId="0" applyNumberFormat="1" applyBorder="1"/>
    <xf numFmtId="164" fontId="0" fillId="0" borderId="0" xfId="0" applyNumberFormat="1"/>
    <xf numFmtId="165" fontId="0" fillId="0" borderId="0" xfId="0" applyNumberFormat="1"/>
    <xf numFmtId="0" fontId="0" fillId="2" borderId="2" xfId="0" applyFill="1" applyBorder="1" applyAlignment="1">
      <alignment horizontal="center"/>
    </xf>
    <xf numFmtId="0" fontId="0" fillId="2" borderId="3" xfId="0" applyFill="1" applyBorder="1" applyAlignment="1">
      <alignment horizontal="center"/>
    </xf>
    <xf numFmtId="0" fontId="0" fillId="0" borderId="8" xfId="0" applyBorder="1" applyAlignment="1">
      <alignment horizontal="center"/>
    </xf>
    <xf numFmtId="0" fontId="0" fillId="0" borderId="1" xfId="0" applyNumberFormat="1" applyBorder="1"/>
  </cellXfs>
  <cellStyles count="1">
    <cellStyle name="Normal" xfId="0" builtinId="0"/>
  </cellStyles>
  <dxfs count="414">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164"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0" defaultTableStyle="TableStyleMedium2" defaultPivotStyle="PivotStyleLight16"/>
  <colors>
    <mruColors>
      <color rgb="FF6600CC"/>
      <color rgb="FFCC0066"/>
      <color rgb="FF9900CC"/>
      <color rgb="FFFC230C"/>
      <color rgb="FF00CCFF"/>
      <color rgb="FF19339F"/>
      <color rgb="FF33CC33"/>
      <color rgb="FF3366FF"/>
      <color rgb="FF2E8A5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 sales Sheet and Dashboard.xlsx]Sheet2!PivotTable1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Total</a:t>
            </a:r>
            <a:r>
              <a:rPr lang="en-US" b="1" baseline="0">
                <a:solidFill>
                  <a:schemeClr val="tx1"/>
                </a:solidFill>
              </a:rPr>
              <a:t> Sales By category</a:t>
            </a:r>
            <a:endParaRPr lang="en-US" b="1">
              <a:solidFill>
                <a:schemeClr val="tx1"/>
              </a:solidFill>
            </a:endParaRPr>
          </a:p>
        </c:rich>
      </c:tx>
      <c:layout>
        <c:manualLayout>
          <c:xMode val="edge"/>
          <c:yMode val="edge"/>
          <c:x val="0.30035411076812396"/>
          <c:y val="4.527564809728883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pivotFmt>
      <c:pivotFmt>
        <c:idx val="4"/>
        <c:spPr>
          <a:solidFill>
            <a:schemeClr val="accent2"/>
          </a:solidFill>
          <a:ln>
            <a:noFill/>
          </a:ln>
          <a:effectLst/>
        </c:spPr>
      </c:pivotFmt>
      <c:pivotFmt>
        <c:idx val="5"/>
        <c:spPr>
          <a:solidFill>
            <a:srgbClr val="CC0066"/>
          </a:solidFill>
          <a:ln>
            <a:noFill/>
          </a:ln>
          <a:effectLst/>
        </c:spPr>
      </c:pivotFmt>
      <c:pivotFmt>
        <c:idx val="6"/>
        <c:spPr>
          <a:solidFill>
            <a:srgbClr val="33CC33"/>
          </a:solidFill>
          <a:ln>
            <a:noFill/>
          </a:ln>
          <a:effectLst/>
        </c:spPr>
      </c:pivotFmt>
    </c:pivotFmts>
    <c:plotArea>
      <c:layout>
        <c:manualLayout>
          <c:layoutTarget val="inner"/>
          <c:xMode val="edge"/>
          <c:yMode val="edge"/>
          <c:x val="0.23266059322500487"/>
          <c:y val="0.22335873563908112"/>
          <c:w val="0.61914079799935884"/>
          <c:h val="0.55827849830013976"/>
        </c:manualLayout>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dPt>
            <c:idx val="0"/>
            <c:invertIfNegative val="0"/>
            <c:bubble3D val="0"/>
            <c:spPr>
              <a:solidFill>
                <a:srgbClr val="33CC33"/>
              </a:solidFill>
              <a:ln>
                <a:noFill/>
              </a:ln>
              <a:effectLst/>
            </c:spPr>
            <c:extLst>
              <c:ext xmlns:c16="http://schemas.microsoft.com/office/drawing/2014/chart" uri="{C3380CC4-5D6E-409C-BE32-E72D297353CC}">
                <c16:uniqueId val="{00000004-0BF0-4622-B2DE-F34BB62BB707}"/>
              </c:ext>
            </c:extLst>
          </c:dPt>
          <c:dPt>
            <c:idx val="1"/>
            <c:invertIfNegative val="0"/>
            <c:bubble3D val="0"/>
            <c:spPr>
              <a:solidFill>
                <a:srgbClr val="CC0066"/>
              </a:solidFill>
              <a:ln>
                <a:noFill/>
              </a:ln>
              <a:effectLst/>
            </c:spPr>
            <c:extLst>
              <c:ext xmlns:c16="http://schemas.microsoft.com/office/drawing/2014/chart" uri="{C3380CC4-5D6E-409C-BE32-E72D297353CC}">
                <c16:uniqueId val="{00000003-0BF0-4622-B2DE-F34BB62BB707}"/>
              </c:ext>
            </c:extLst>
          </c:dPt>
          <c:dPt>
            <c:idx val="2"/>
            <c:invertIfNegative val="0"/>
            <c:bubble3D val="0"/>
            <c:spPr>
              <a:solidFill>
                <a:srgbClr val="002060"/>
              </a:solidFill>
              <a:ln>
                <a:noFill/>
              </a:ln>
              <a:effectLst/>
            </c:spPr>
            <c:extLst>
              <c:ext xmlns:c16="http://schemas.microsoft.com/office/drawing/2014/chart" uri="{C3380CC4-5D6E-409C-BE32-E72D297353CC}">
                <c16:uniqueId val="{00000001-0BF0-4622-B2DE-F34BB62BB707}"/>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2-0BF0-4622-B2DE-F34BB62BB707}"/>
              </c:ext>
            </c:extLst>
          </c:dPt>
          <c:cat>
            <c:strRef>
              <c:f>Sheet2!$A$4:$A$8</c:f>
              <c:strCache>
                <c:ptCount val="4"/>
                <c:pt idx="0">
                  <c:v>Electronics</c:v>
                </c:pt>
                <c:pt idx="1">
                  <c:v>Furniture</c:v>
                </c:pt>
                <c:pt idx="2">
                  <c:v>Home</c:v>
                </c:pt>
                <c:pt idx="3">
                  <c:v>Stationery</c:v>
                </c:pt>
              </c:strCache>
            </c:strRef>
          </c:cat>
          <c:val>
            <c:numRef>
              <c:f>Sheet2!$B$4:$B$8</c:f>
              <c:numCache>
                <c:formatCode>"₹"\ #,##0.00</c:formatCode>
                <c:ptCount val="4"/>
                <c:pt idx="0">
                  <c:v>720317</c:v>
                </c:pt>
                <c:pt idx="1">
                  <c:v>829595</c:v>
                </c:pt>
                <c:pt idx="2">
                  <c:v>1505274</c:v>
                </c:pt>
                <c:pt idx="3">
                  <c:v>1296160</c:v>
                </c:pt>
              </c:numCache>
            </c:numRef>
          </c:val>
          <c:extLst>
            <c:ext xmlns:c16="http://schemas.microsoft.com/office/drawing/2014/chart" uri="{C3380CC4-5D6E-409C-BE32-E72D297353CC}">
              <c16:uniqueId val="{00000000-0BF0-4622-B2DE-F34BB62BB707}"/>
            </c:ext>
          </c:extLst>
        </c:ser>
        <c:dLbls>
          <c:showLegendKey val="0"/>
          <c:showVal val="0"/>
          <c:showCatName val="0"/>
          <c:showSerName val="0"/>
          <c:showPercent val="0"/>
          <c:showBubbleSize val="0"/>
        </c:dLbls>
        <c:gapWidth val="219"/>
        <c:overlap val="-27"/>
        <c:axId val="1249535568"/>
        <c:axId val="1249536048"/>
      </c:barChart>
      <c:catAx>
        <c:axId val="12495355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solidFill>
                      <a:schemeClr val="tx1"/>
                    </a:solidFill>
                  </a:rPr>
                  <a:t>Products</a:t>
                </a:r>
                <a:r>
                  <a:rPr lang="en-IN" baseline="0">
                    <a:solidFill>
                      <a:schemeClr val="tx1"/>
                    </a:solidFill>
                  </a:rPr>
                  <a:t> Category</a:t>
                </a:r>
                <a:endParaRPr lang="en-IN">
                  <a:solidFill>
                    <a:schemeClr val="tx1"/>
                  </a:solidFill>
                </a:endParaRPr>
              </a:p>
            </c:rich>
          </c:tx>
          <c:layout>
            <c:manualLayout>
              <c:xMode val="edge"/>
              <c:yMode val="edge"/>
              <c:x val="0.36943392746372633"/>
              <c:y val="0.8851918866481727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1249536048"/>
        <c:crosses val="autoZero"/>
        <c:auto val="1"/>
        <c:lblAlgn val="ctr"/>
        <c:lblOffset val="100"/>
        <c:noMultiLvlLbl val="0"/>
      </c:catAx>
      <c:valAx>
        <c:axId val="1249536048"/>
        <c:scaling>
          <c:orientation val="minMax"/>
        </c:scaling>
        <c:delete val="0"/>
        <c:axPos val="l"/>
        <c:majorGrid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solidFill>
                      <a:schemeClr val="tx1"/>
                    </a:solidFill>
                  </a:rPr>
                  <a:t>Total</a:t>
                </a:r>
                <a:r>
                  <a:rPr lang="en-IN" baseline="0">
                    <a:solidFill>
                      <a:schemeClr val="tx1"/>
                    </a:solidFill>
                  </a:rPr>
                  <a:t> Sales</a:t>
                </a:r>
                <a:endParaRPr lang="en-IN">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IN"/>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249535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accent1">
          <a:shade val="15000"/>
          <a:alpha val="96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 sales Sheet and Dashboard.xlsx]Sheet2!PivotTable3</c:name>
    <c:fmtId val="2"/>
  </c:pivotSource>
  <c:chart>
    <c:title>
      <c:tx>
        <c:rich>
          <a:bodyPr rot="0" spcFirstLastPara="1" vertOverflow="ellipsis" vert="horz" wrap="square" anchor="ctr" anchorCtr="1"/>
          <a:lstStyle/>
          <a:p>
            <a:pPr>
              <a:defRPr sz="1400" b="1" i="0" u="none" strike="noStrike" kern="1200" cap="all" spc="50" baseline="0">
                <a:solidFill>
                  <a:schemeClr val="tx1"/>
                </a:solidFill>
                <a:latin typeface="+mn-lt"/>
                <a:ea typeface="+mn-ea"/>
                <a:cs typeface="+mn-cs"/>
              </a:defRPr>
            </a:pPr>
            <a:r>
              <a:rPr lang="en-US">
                <a:solidFill>
                  <a:schemeClr val="tx1"/>
                </a:solidFill>
              </a:rPr>
              <a:t>Total Sales by Region</a:t>
            </a:r>
          </a:p>
        </c:rich>
      </c:tx>
      <c:layout>
        <c:manualLayout>
          <c:xMode val="edge"/>
          <c:yMode val="edge"/>
          <c:x val="0.26114566929133859"/>
          <c:y val="3.6016331291921846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CC0066"/>
          </a:solidFill>
          <a:ln>
            <a:noFill/>
          </a:ln>
          <a:effectLst/>
          <a:scene3d>
            <a:camera prst="orthographicFront"/>
            <a:lightRig rig="brightRoom" dir="t"/>
          </a:scene3d>
          <a:sp3d prstMaterial="flat">
            <a:bevelT w="50800" h="101600" prst="angle"/>
            <a:contourClr>
              <a:srgbClr val="000000"/>
            </a:contourClr>
          </a:sp3d>
        </c:spPr>
      </c:pivotFmt>
      <c:pivotFmt>
        <c:idx val="8"/>
        <c:spPr>
          <a:solidFill>
            <a:srgbClr val="00B0F0"/>
          </a:solidFill>
          <a:ln>
            <a:noFill/>
          </a:ln>
          <a:effectLst/>
          <a:scene3d>
            <a:camera prst="orthographicFront"/>
            <a:lightRig rig="brightRoom" dir="t"/>
          </a:scene3d>
          <a:sp3d prstMaterial="flat">
            <a:bevelT w="50800" h="101600" prst="angle"/>
            <a:contourClr>
              <a:srgbClr val="000000"/>
            </a:contourClr>
          </a:sp3d>
        </c:spPr>
      </c:pivotFmt>
      <c:pivotFmt>
        <c:idx val="9"/>
        <c:spPr>
          <a:solidFill>
            <a:srgbClr val="6600CC"/>
          </a:solidFill>
          <a:ln>
            <a:noFill/>
          </a:ln>
          <a:effectLst/>
          <a:scene3d>
            <a:camera prst="orthographicFront"/>
            <a:lightRig rig="brightRoom" dir="t"/>
          </a:scene3d>
          <a:sp3d prstMaterial="flat">
            <a:bevelT w="50800" h="101600" prst="angle"/>
            <a:contourClr>
              <a:srgbClr val="000000"/>
            </a:contourClr>
          </a:sp3d>
        </c:spPr>
      </c:pivotFmt>
      <c:pivotFmt>
        <c:idx val="10"/>
        <c:spPr>
          <a:solidFill>
            <a:srgbClr val="FFC000"/>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4094947506561679"/>
          <c:y val="0.24575167687372412"/>
          <c:w val="0.40997178477690294"/>
          <c:h val="0.68328630796150491"/>
        </c:manualLayout>
      </c:layout>
      <c:pieChart>
        <c:varyColors val="1"/>
        <c:ser>
          <c:idx val="0"/>
          <c:order val="0"/>
          <c:tx>
            <c:strRef>
              <c:f>Sheet2!$H$3</c:f>
              <c:strCache>
                <c:ptCount val="1"/>
                <c:pt idx="0">
                  <c:v>Total</c:v>
                </c:pt>
              </c:strCache>
            </c:strRef>
          </c:tx>
          <c:dPt>
            <c:idx val="0"/>
            <c:bubble3D val="0"/>
            <c:explosion val="7"/>
            <c:spPr>
              <a:solidFill>
                <a:srgbClr val="CC006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0FE-40DF-82E7-1ABB15D2333F}"/>
              </c:ext>
            </c:extLst>
          </c:dPt>
          <c:dPt>
            <c:idx val="1"/>
            <c:bubble3D val="0"/>
            <c:spPr>
              <a:solidFill>
                <a:srgbClr val="00B0F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0FE-40DF-82E7-1ABB15D2333F}"/>
              </c:ext>
            </c:extLst>
          </c:dPt>
          <c:dPt>
            <c:idx val="2"/>
            <c:bubble3D val="0"/>
            <c:spPr>
              <a:solidFill>
                <a:srgbClr val="6600CC"/>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70FE-40DF-82E7-1ABB15D2333F}"/>
              </c:ext>
            </c:extLst>
          </c:dPt>
          <c:dPt>
            <c:idx val="3"/>
            <c:bubble3D val="0"/>
            <c:explosion val="8"/>
            <c:spPr>
              <a:solidFill>
                <a:srgbClr val="FFC0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70FE-40DF-82E7-1ABB15D2333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Sheet2!$G$4:$G$8</c:f>
              <c:strCache>
                <c:ptCount val="4"/>
                <c:pt idx="0">
                  <c:v>Central</c:v>
                </c:pt>
                <c:pt idx="1">
                  <c:v>East</c:v>
                </c:pt>
                <c:pt idx="2">
                  <c:v>North</c:v>
                </c:pt>
                <c:pt idx="3">
                  <c:v>West</c:v>
                </c:pt>
              </c:strCache>
            </c:strRef>
          </c:cat>
          <c:val>
            <c:numRef>
              <c:f>Sheet2!$H$4:$H$8</c:f>
              <c:numCache>
                <c:formatCode>"₹"\ #,##0.00</c:formatCode>
                <c:ptCount val="4"/>
                <c:pt idx="0">
                  <c:v>1194243</c:v>
                </c:pt>
                <c:pt idx="1">
                  <c:v>222359</c:v>
                </c:pt>
                <c:pt idx="2">
                  <c:v>1832699</c:v>
                </c:pt>
                <c:pt idx="3">
                  <c:v>1102045</c:v>
                </c:pt>
              </c:numCache>
            </c:numRef>
          </c:val>
          <c:extLst>
            <c:ext xmlns:c16="http://schemas.microsoft.com/office/drawing/2014/chart" uri="{C3380CC4-5D6E-409C-BE32-E72D297353CC}">
              <c16:uniqueId val="{00000008-70FE-40DF-82E7-1ABB15D2333F}"/>
            </c:ext>
          </c:extLst>
        </c:ser>
        <c:dLbls>
          <c:dLblPos val="inEnd"/>
          <c:showLegendKey val="0"/>
          <c:showVal val="0"/>
          <c:showCatName val="0"/>
          <c:showSerName val="0"/>
          <c:showPercent val="1"/>
          <c:showBubbleSize val="0"/>
          <c:showLeaderLines val="1"/>
        </c:dLbls>
        <c:firstSliceAng val="142"/>
      </c:pieChart>
      <c:spPr>
        <a:noFill/>
        <a:ln>
          <a:noFill/>
        </a:ln>
        <a:effectLst/>
      </c:spPr>
    </c:plotArea>
    <c:legend>
      <c:legendPos val="r"/>
      <c:layout>
        <c:manualLayout>
          <c:xMode val="edge"/>
          <c:yMode val="edge"/>
          <c:x val="0.79378920444234802"/>
          <c:y val="0.20362930231765203"/>
          <c:w val="0.16732196672356028"/>
          <c:h val="0.47255901289731267"/>
        </c:manualLayout>
      </c:layout>
      <c:overlay val="0"/>
      <c:spPr>
        <a:solidFill>
          <a:schemeClr val="accent1">
            <a:lumMod val="20000"/>
            <a:lumOff val="80000"/>
          </a:schemeClr>
        </a:solid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 sales Sheet and Dashboard.xlsx]Sheet2!PivotTable5</c:name>
    <c:fmtId val="6"/>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solidFill>
                  <a:schemeClr val="tx1"/>
                </a:solidFill>
              </a:rPr>
              <a:t>Order Status</a:t>
            </a:r>
          </a:p>
        </c:rich>
      </c:tx>
      <c:layout>
        <c:manualLayout>
          <c:xMode val="edge"/>
          <c:yMode val="edge"/>
          <c:x val="0.32361349048965649"/>
          <c:y val="2.3534786666723068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rgbClr val="CC006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FFC000"/>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9900CC"/>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CC0066"/>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4425949665387669"/>
          <c:y val="0.19341958165934128"/>
          <c:w val="0.47465462074895926"/>
          <c:h val="0.76105659048452279"/>
        </c:manualLayout>
      </c:layout>
      <c:doughnutChart>
        <c:varyColors val="1"/>
        <c:ser>
          <c:idx val="0"/>
          <c:order val="0"/>
          <c:tx>
            <c:strRef>
              <c:f>Sheet2!$B$12</c:f>
              <c:strCache>
                <c:ptCount val="1"/>
                <c:pt idx="0">
                  <c:v>Total</c:v>
                </c:pt>
              </c:strCache>
            </c:strRef>
          </c:tx>
          <c:spPr>
            <a:solidFill>
              <a:srgbClr val="CC0066"/>
            </a:solidFill>
          </c:spPr>
          <c:dPt>
            <c:idx val="0"/>
            <c:bubble3D val="0"/>
            <c:spPr>
              <a:solidFill>
                <a:srgbClr val="FFC0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C77-4407-A68C-0581584E938D}"/>
              </c:ext>
            </c:extLst>
          </c:dPt>
          <c:dPt>
            <c:idx val="1"/>
            <c:bubble3D val="0"/>
            <c:spPr>
              <a:solidFill>
                <a:srgbClr val="9900CC"/>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C77-4407-A68C-0581584E938D}"/>
              </c:ext>
            </c:extLst>
          </c:dPt>
          <c:dPt>
            <c:idx val="2"/>
            <c:bubble3D val="0"/>
            <c:explosion val="10"/>
            <c:spPr>
              <a:solidFill>
                <a:srgbClr val="CC006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C77-4407-A68C-0581584E938D}"/>
              </c:ext>
            </c:extLst>
          </c:dPt>
          <c:dLbls>
            <c:dLbl>
              <c:idx val="0"/>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C77-4407-A68C-0581584E938D}"/>
                </c:ext>
              </c:extLst>
            </c:dLbl>
            <c:dLbl>
              <c:idx val="1"/>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C77-4407-A68C-0581584E938D}"/>
                </c:ext>
              </c:extLst>
            </c:dLbl>
            <c:dLbl>
              <c:idx val="2"/>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C77-4407-A68C-0581584E938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Sheet2!$A$13:$A$16</c:f>
              <c:strCache>
                <c:ptCount val="3"/>
                <c:pt idx="0">
                  <c:v>Cancelled</c:v>
                </c:pt>
                <c:pt idx="1">
                  <c:v>Delivered</c:v>
                </c:pt>
                <c:pt idx="2">
                  <c:v>Returned</c:v>
                </c:pt>
              </c:strCache>
            </c:strRef>
          </c:cat>
          <c:val>
            <c:numRef>
              <c:f>Sheet2!$B$13:$B$16</c:f>
              <c:numCache>
                <c:formatCode>"₹"\ #,##0.00</c:formatCode>
                <c:ptCount val="3"/>
                <c:pt idx="0">
                  <c:v>1173800</c:v>
                </c:pt>
                <c:pt idx="1">
                  <c:v>1551292</c:v>
                </c:pt>
                <c:pt idx="2">
                  <c:v>1626254</c:v>
                </c:pt>
              </c:numCache>
            </c:numRef>
          </c:val>
          <c:extLst>
            <c:ext xmlns:c16="http://schemas.microsoft.com/office/drawing/2014/chart" uri="{C3380CC4-5D6E-409C-BE32-E72D297353CC}">
              <c16:uniqueId val="{00000006-2C77-4407-A68C-0581584E938D}"/>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12599871683013705"/>
          <c:y val="0.21640709518074749"/>
          <c:w val="0.31576691933711165"/>
          <c:h val="0.402750275831330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 sales Sheet and Dashboard.xlsx]Sheet2!PivotTable6</c:name>
    <c:fmtId val="16"/>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US" b="1">
                <a:solidFill>
                  <a:schemeClr val="tx1">
                    <a:lumMod val="95000"/>
                    <a:lumOff val="5000"/>
                  </a:schemeClr>
                </a:solidFill>
              </a:rPr>
              <a:t>Total Sales by Products</a:t>
            </a:r>
          </a:p>
        </c:rich>
      </c:tx>
      <c:layout>
        <c:manualLayout>
          <c:xMode val="edge"/>
          <c:yMode val="edge"/>
          <c:x val="0.3296035134916977"/>
          <c:y val="5.036790469516468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CC0066"/>
            </a:solidFill>
            <a:round/>
          </a:ln>
          <a:effectLst/>
        </c:spPr>
        <c:marker>
          <c:symbol val="circle"/>
          <c:size val="5"/>
          <c:spPr>
            <a:solidFill>
              <a:srgbClr val="6600CC"/>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CC0066"/>
            </a:solidFill>
            <a:round/>
          </a:ln>
          <a:effectLst/>
        </c:spPr>
        <c:marker>
          <c:symbol val="circle"/>
          <c:size val="5"/>
          <c:spPr>
            <a:solidFill>
              <a:srgbClr val="6600CC"/>
            </a:solidFill>
            <a:ln w="9525">
              <a:solidFill>
                <a:schemeClr val="accent1"/>
              </a:solidFill>
            </a:ln>
            <a:effectLst/>
          </c:spPr>
        </c:marker>
      </c:pivotFmt>
      <c:pivotFmt>
        <c:idx val="4"/>
        <c:spPr>
          <a:ln w="28575" cap="rnd">
            <a:solidFill>
              <a:srgbClr val="CC0066"/>
            </a:solidFill>
            <a:round/>
          </a:ln>
          <a:effectLst/>
        </c:spPr>
        <c:marker>
          <c:symbol val="circle"/>
          <c:size val="5"/>
          <c:spPr>
            <a:solidFill>
              <a:srgbClr val="6600CC"/>
            </a:solidFill>
            <a:ln w="9525">
              <a:solidFill>
                <a:schemeClr val="accent1"/>
              </a:solidFill>
            </a:ln>
            <a:effectLst/>
          </c:spPr>
        </c:marker>
      </c:pivotFmt>
    </c:pivotFmts>
    <c:plotArea>
      <c:layout>
        <c:manualLayout>
          <c:layoutTarget val="inner"/>
          <c:xMode val="edge"/>
          <c:yMode val="edge"/>
          <c:x val="0.18669746934954601"/>
          <c:y val="0.20728291588504347"/>
          <c:w val="0.68553644705846895"/>
          <c:h val="0.54185778406097107"/>
        </c:manualLayout>
      </c:layout>
      <c:lineChart>
        <c:grouping val="standard"/>
        <c:varyColors val="0"/>
        <c:ser>
          <c:idx val="0"/>
          <c:order val="0"/>
          <c:tx>
            <c:strRef>
              <c:f>Sheet2!$E$11</c:f>
              <c:strCache>
                <c:ptCount val="1"/>
                <c:pt idx="0">
                  <c:v>Total</c:v>
                </c:pt>
              </c:strCache>
            </c:strRef>
          </c:tx>
          <c:spPr>
            <a:ln w="28575" cap="rnd">
              <a:solidFill>
                <a:srgbClr val="CC0066"/>
              </a:solidFill>
              <a:round/>
            </a:ln>
            <a:effectLst/>
          </c:spPr>
          <c:marker>
            <c:symbol val="circle"/>
            <c:size val="5"/>
            <c:spPr>
              <a:solidFill>
                <a:srgbClr val="6600CC"/>
              </a:solidFill>
              <a:ln w="9525">
                <a:solidFill>
                  <a:schemeClr val="accent1"/>
                </a:solidFill>
              </a:ln>
              <a:effectLst/>
            </c:spPr>
          </c:marker>
          <c:cat>
            <c:strRef>
              <c:f>Sheet2!$D$12:$D$22</c:f>
              <c:strCache>
                <c:ptCount val="10"/>
                <c:pt idx="0">
                  <c:v>Bottle</c:v>
                </c:pt>
                <c:pt idx="1">
                  <c:v>Chair</c:v>
                </c:pt>
                <c:pt idx="2">
                  <c:v>Keyboard</c:v>
                </c:pt>
                <c:pt idx="3">
                  <c:v>Laptop</c:v>
                </c:pt>
                <c:pt idx="4">
                  <c:v>Monitor</c:v>
                </c:pt>
                <c:pt idx="5">
                  <c:v>Mouse</c:v>
                </c:pt>
                <c:pt idx="6">
                  <c:v>Notebook</c:v>
                </c:pt>
                <c:pt idx="7">
                  <c:v>Pen</c:v>
                </c:pt>
                <c:pt idx="8">
                  <c:v>Sofa</c:v>
                </c:pt>
                <c:pt idx="9">
                  <c:v>Table</c:v>
                </c:pt>
              </c:strCache>
            </c:strRef>
          </c:cat>
          <c:val>
            <c:numRef>
              <c:f>Sheet2!$E$12:$E$22</c:f>
              <c:numCache>
                <c:formatCode>"₹"\ #,##0.00</c:formatCode>
                <c:ptCount val="10"/>
                <c:pt idx="0">
                  <c:v>1505274</c:v>
                </c:pt>
                <c:pt idx="1">
                  <c:v>55190</c:v>
                </c:pt>
                <c:pt idx="2">
                  <c:v>355180</c:v>
                </c:pt>
                <c:pt idx="3">
                  <c:v>100426</c:v>
                </c:pt>
                <c:pt idx="4">
                  <c:v>155461</c:v>
                </c:pt>
                <c:pt idx="5">
                  <c:v>109250</c:v>
                </c:pt>
                <c:pt idx="6">
                  <c:v>112520</c:v>
                </c:pt>
                <c:pt idx="7">
                  <c:v>1183640</c:v>
                </c:pt>
                <c:pt idx="8">
                  <c:v>344995</c:v>
                </c:pt>
                <c:pt idx="9">
                  <c:v>429410</c:v>
                </c:pt>
              </c:numCache>
            </c:numRef>
          </c:val>
          <c:smooth val="0"/>
          <c:extLst>
            <c:ext xmlns:c16="http://schemas.microsoft.com/office/drawing/2014/chart" uri="{C3380CC4-5D6E-409C-BE32-E72D297353CC}">
              <c16:uniqueId val="{00000000-6219-4B50-A3B9-142E5AE03998}"/>
            </c:ext>
          </c:extLst>
        </c:ser>
        <c:dLbls>
          <c:showLegendKey val="0"/>
          <c:showVal val="0"/>
          <c:showCatName val="0"/>
          <c:showSerName val="0"/>
          <c:showPercent val="0"/>
          <c:showBubbleSize val="0"/>
        </c:dLbls>
        <c:marker val="1"/>
        <c:smooth val="0"/>
        <c:axId val="227614512"/>
        <c:axId val="227613552"/>
      </c:lineChart>
      <c:catAx>
        <c:axId val="227614512"/>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solidFill>
                      <a:schemeClr val="tx1">
                        <a:lumMod val="95000"/>
                        <a:lumOff val="5000"/>
                      </a:schemeClr>
                    </a:solidFill>
                  </a:rPr>
                  <a:t>Products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227613552"/>
        <c:crosses val="autoZero"/>
        <c:auto val="1"/>
        <c:lblAlgn val="ctr"/>
        <c:lblOffset val="100"/>
        <c:noMultiLvlLbl val="0"/>
      </c:catAx>
      <c:valAx>
        <c:axId val="2276135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r>
                  <a:rPr lang="en-IN" b="1">
                    <a:solidFill>
                      <a:schemeClr val="tx1">
                        <a:lumMod val="95000"/>
                        <a:lumOff val="5000"/>
                      </a:schemeClr>
                    </a:solidFill>
                  </a:rPr>
                  <a:t>total</a:t>
                </a:r>
                <a:r>
                  <a:rPr lang="en-IN" b="1" baseline="0">
                    <a:solidFill>
                      <a:schemeClr val="tx1">
                        <a:lumMod val="95000"/>
                        <a:lumOff val="5000"/>
                      </a:schemeClr>
                    </a:solidFill>
                  </a:rPr>
                  <a:t> Sales</a:t>
                </a:r>
                <a:endParaRPr lang="en-IN" b="1">
                  <a:solidFill>
                    <a:schemeClr val="tx1">
                      <a:lumMod val="95000"/>
                      <a:lumOff val="5000"/>
                    </a:schemeClr>
                  </a:solidFill>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IN"/>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227614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rgbClr val="CC006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 sales Sheet and Dashboard.xlsx]Sheet2!PivotTable8</c:name>
    <c:fmtId val="20"/>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US" b="1">
                <a:solidFill>
                  <a:schemeClr val="tx1">
                    <a:lumMod val="95000"/>
                    <a:lumOff val="5000"/>
                  </a:schemeClr>
                </a:solidFill>
              </a:rPr>
              <a:t>Top</a:t>
            </a:r>
            <a:r>
              <a:rPr lang="en-US" b="1" baseline="0">
                <a:solidFill>
                  <a:schemeClr val="tx1">
                    <a:lumMod val="95000"/>
                    <a:lumOff val="5000"/>
                  </a:schemeClr>
                </a:solidFill>
              </a:rPr>
              <a:t> 5 Product by Sales</a:t>
            </a:r>
            <a:endParaRPr lang="en-US"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C0066"/>
          </a:solidFill>
          <a:ln>
            <a:noFill/>
          </a:ln>
          <a:effectLst/>
        </c:spPr>
      </c:pivotFmt>
      <c:pivotFmt>
        <c:idx val="4"/>
        <c:spPr>
          <a:solidFill>
            <a:srgbClr val="FFC000"/>
          </a:solidFill>
          <a:ln>
            <a:noFill/>
          </a:ln>
          <a:effectLst/>
        </c:spPr>
      </c:pivotFmt>
      <c:pivotFmt>
        <c:idx val="5"/>
        <c:spPr>
          <a:solidFill>
            <a:srgbClr val="6600CC"/>
          </a:solidFill>
          <a:ln>
            <a:noFill/>
          </a:ln>
          <a:effectLst/>
        </c:spPr>
      </c:pivotFmt>
      <c:pivotFmt>
        <c:idx val="6"/>
        <c:spPr>
          <a:solidFill>
            <a:srgbClr val="00B0F0"/>
          </a:solidFill>
          <a:ln>
            <a:noFill/>
          </a:ln>
          <a:effectLst/>
        </c:spPr>
      </c:pivotFmt>
      <c:pivotFmt>
        <c:idx val="7"/>
        <c:spPr>
          <a:solidFill>
            <a:schemeClr val="accent2">
              <a:lumMod val="75000"/>
            </a:schemeClr>
          </a:solidFill>
          <a:ln>
            <a:noFill/>
          </a:ln>
          <a:effectLst/>
        </c:spPr>
      </c:pivotFmt>
    </c:pivotFmts>
    <c:plotArea>
      <c:layout/>
      <c:barChart>
        <c:barDir val="col"/>
        <c:grouping val="clustered"/>
        <c:varyColors val="0"/>
        <c:ser>
          <c:idx val="0"/>
          <c:order val="0"/>
          <c:tx>
            <c:strRef>
              <c:f>Sheet2!$K$15</c:f>
              <c:strCache>
                <c:ptCount val="1"/>
                <c:pt idx="0">
                  <c:v>Total</c:v>
                </c:pt>
              </c:strCache>
            </c:strRef>
          </c:tx>
          <c:spPr>
            <a:solidFill>
              <a:schemeClr val="accent1"/>
            </a:solidFill>
            <a:ln>
              <a:noFill/>
            </a:ln>
            <a:effectLst/>
          </c:spPr>
          <c:invertIfNegative val="0"/>
          <c:dPt>
            <c:idx val="0"/>
            <c:invertIfNegative val="0"/>
            <c:bubble3D val="0"/>
            <c:spPr>
              <a:solidFill>
                <a:srgbClr val="CC0066"/>
              </a:solidFill>
              <a:ln>
                <a:noFill/>
              </a:ln>
              <a:effectLst/>
            </c:spPr>
            <c:extLst>
              <c:ext xmlns:c16="http://schemas.microsoft.com/office/drawing/2014/chart" uri="{C3380CC4-5D6E-409C-BE32-E72D297353CC}">
                <c16:uniqueId val="{00000000-8FB8-4F03-83F1-1889760012E7}"/>
              </c:ext>
            </c:extLst>
          </c:dPt>
          <c:dPt>
            <c:idx val="1"/>
            <c:invertIfNegative val="0"/>
            <c:bubble3D val="0"/>
            <c:spPr>
              <a:solidFill>
                <a:srgbClr val="FFC000"/>
              </a:solidFill>
              <a:ln>
                <a:noFill/>
              </a:ln>
              <a:effectLst/>
            </c:spPr>
            <c:extLst>
              <c:ext xmlns:c16="http://schemas.microsoft.com/office/drawing/2014/chart" uri="{C3380CC4-5D6E-409C-BE32-E72D297353CC}">
                <c16:uniqueId val="{00000001-8FB8-4F03-83F1-1889760012E7}"/>
              </c:ext>
            </c:extLst>
          </c:dPt>
          <c:dPt>
            <c:idx val="2"/>
            <c:invertIfNegative val="0"/>
            <c:bubble3D val="0"/>
            <c:spPr>
              <a:solidFill>
                <a:srgbClr val="6600CC"/>
              </a:solidFill>
              <a:ln>
                <a:noFill/>
              </a:ln>
              <a:effectLst/>
            </c:spPr>
            <c:extLst>
              <c:ext xmlns:c16="http://schemas.microsoft.com/office/drawing/2014/chart" uri="{C3380CC4-5D6E-409C-BE32-E72D297353CC}">
                <c16:uniqueId val="{00000002-8FB8-4F03-83F1-1889760012E7}"/>
              </c:ext>
            </c:extLst>
          </c:dPt>
          <c:dPt>
            <c:idx val="3"/>
            <c:invertIfNegative val="0"/>
            <c:bubble3D val="0"/>
            <c:spPr>
              <a:solidFill>
                <a:srgbClr val="00B0F0"/>
              </a:solidFill>
              <a:ln>
                <a:noFill/>
              </a:ln>
              <a:effectLst/>
            </c:spPr>
            <c:extLst>
              <c:ext xmlns:c16="http://schemas.microsoft.com/office/drawing/2014/chart" uri="{C3380CC4-5D6E-409C-BE32-E72D297353CC}">
                <c16:uniqueId val="{00000003-8FB8-4F03-83F1-1889760012E7}"/>
              </c:ext>
            </c:extLst>
          </c:dPt>
          <c:dPt>
            <c:idx val="4"/>
            <c:invertIfNegative val="0"/>
            <c:bubble3D val="0"/>
            <c:spPr>
              <a:solidFill>
                <a:schemeClr val="accent2">
                  <a:lumMod val="75000"/>
                </a:schemeClr>
              </a:solidFill>
              <a:ln>
                <a:noFill/>
              </a:ln>
              <a:effectLst/>
            </c:spPr>
            <c:extLst>
              <c:ext xmlns:c16="http://schemas.microsoft.com/office/drawing/2014/chart" uri="{C3380CC4-5D6E-409C-BE32-E72D297353CC}">
                <c16:uniqueId val="{00000004-8FB8-4F03-83F1-1889760012E7}"/>
              </c:ext>
            </c:extLst>
          </c:dPt>
          <c:cat>
            <c:strRef>
              <c:f>Sheet2!$J$16:$J$21</c:f>
              <c:strCache>
                <c:ptCount val="5"/>
                <c:pt idx="0">
                  <c:v>Bottle</c:v>
                </c:pt>
                <c:pt idx="1">
                  <c:v>Keyboard</c:v>
                </c:pt>
                <c:pt idx="2">
                  <c:v>Pen</c:v>
                </c:pt>
                <c:pt idx="3">
                  <c:v>Sofa</c:v>
                </c:pt>
                <c:pt idx="4">
                  <c:v>Table</c:v>
                </c:pt>
              </c:strCache>
            </c:strRef>
          </c:cat>
          <c:val>
            <c:numRef>
              <c:f>Sheet2!$K$16:$K$21</c:f>
              <c:numCache>
                <c:formatCode>"₹"\ #,##0.00</c:formatCode>
                <c:ptCount val="5"/>
                <c:pt idx="0">
                  <c:v>1505274</c:v>
                </c:pt>
                <c:pt idx="1">
                  <c:v>355180</c:v>
                </c:pt>
                <c:pt idx="2">
                  <c:v>1183640</c:v>
                </c:pt>
                <c:pt idx="3">
                  <c:v>344995</c:v>
                </c:pt>
                <c:pt idx="4">
                  <c:v>429410</c:v>
                </c:pt>
              </c:numCache>
            </c:numRef>
          </c:val>
          <c:extLst>
            <c:ext xmlns:c16="http://schemas.microsoft.com/office/drawing/2014/chart" uri="{C3380CC4-5D6E-409C-BE32-E72D297353CC}">
              <c16:uniqueId val="{00000000-8086-41E7-8390-32E94D251F60}"/>
            </c:ext>
          </c:extLst>
        </c:ser>
        <c:dLbls>
          <c:showLegendKey val="0"/>
          <c:showVal val="0"/>
          <c:showCatName val="0"/>
          <c:showSerName val="0"/>
          <c:showPercent val="0"/>
          <c:showBubbleSize val="0"/>
        </c:dLbls>
        <c:gapWidth val="219"/>
        <c:overlap val="-27"/>
        <c:axId val="227606352"/>
        <c:axId val="227629872"/>
      </c:barChart>
      <c:catAx>
        <c:axId val="227606352"/>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r>
                  <a:rPr lang="en-IN" b="1">
                    <a:solidFill>
                      <a:schemeClr val="tx1">
                        <a:lumMod val="95000"/>
                        <a:lumOff val="5000"/>
                      </a:schemeClr>
                    </a:solidFill>
                  </a:rPr>
                  <a:t>Top</a:t>
                </a:r>
                <a:r>
                  <a:rPr lang="en-IN" b="1" baseline="0">
                    <a:solidFill>
                      <a:schemeClr val="tx1">
                        <a:lumMod val="95000"/>
                        <a:lumOff val="5000"/>
                      </a:schemeClr>
                    </a:solidFill>
                  </a:rPr>
                  <a:t> 5 Products</a:t>
                </a:r>
                <a:endParaRPr lang="en-IN" b="1">
                  <a:solidFill>
                    <a:schemeClr val="tx1">
                      <a:lumMod val="95000"/>
                      <a:lumOff val="5000"/>
                    </a:schemeClr>
                  </a:solidFill>
                </a:endParaRPr>
              </a:p>
            </c:rich>
          </c:tx>
          <c:layout>
            <c:manualLayout>
              <c:xMode val="edge"/>
              <c:yMode val="edge"/>
              <c:x val="0.4257534995625547"/>
              <c:y val="0.8010246484703416"/>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227629872"/>
        <c:crosses val="autoZero"/>
        <c:auto val="1"/>
        <c:lblAlgn val="ctr"/>
        <c:lblOffset val="100"/>
        <c:noMultiLvlLbl val="0"/>
      </c:catAx>
      <c:valAx>
        <c:axId val="2276298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r>
                  <a:rPr lang="en-IN" b="1">
                    <a:solidFill>
                      <a:schemeClr val="tx1">
                        <a:lumMod val="95000"/>
                        <a:lumOff val="5000"/>
                      </a:schemeClr>
                    </a:solidFill>
                  </a:rPr>
                  <a:t>Sum</a:t>
                </a:r>
                <a:r>
                  <a:rPr lang="en-IN" b="1" baseline="0">
                    <a:solidFill>
                      <a:schemeClr val="tx1">
                        <a:lumMod val="95000"/>
                        <a:lumOff val="5000"/>
                      </a:schemeClr>
                    </a:solidFill>
                  </a:rPr>
                  <a:t> of Sales</a:t>
                </a:r>
                <a:endParaRPr lang="en-IN" b="1">
                  <a:solidFill>
                    <a:schemeClr val="tx1">
                      <a:lumMod val="95000"/>
                      <a:lumOff val="5000"/>
                    </a:schemeClr>
                  </a:solidFill>
                </a:endParaRPr>
              </a:p>
            </c:rich>
          </c:tx>
          <c:layout>
            <c:manualLayout>
              <c:xMode val="edge"/>
              <c:yMode val="edge"/>
              <c:x val="2.5000000000000001E-2"/>
              <c:y val="0.35265333155431816"/>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IN"/>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227606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 sales Sheet and Dashboard.xlsx]Sheet2!PivotTable13</c:name>
    <c:fmtId val="25"/>
  </c:pivotSource>
  <c:chart>
    <c:title>
      <c:tx>
        <c:rich>
          <a:bodyPr rot="0" spcFirstLastPara="1" vertOverflow="ellipsis" vert="horz" wrap="square" anchor="ctr" anchorCtr="1"/>
          <a:lstStyle/>
          <a:p>
            <a:pPr>
              <a:defRPr sz="1400" b="1" i="0" u="none" strike="noStrike" kern="1200" cap="all" spc="50" baseline="0">
                <a:solidFill>
                  <a:schemeClr val="tx1"/>
                </a:solidFill>
                <a:latin typeface="+mn-lt"/>
                <a:ea typeface="+mn-ea"/>
                <a:cs typeface="+mn-cs"/>
              </a:defRPr>
            </a:pPr>
            <a:r>
              <a:rPr lang="en-IN">
                <a:solidFill>
                  <a:schemeClr val="tx1"/>
                </a:solidFill>
              </a:rPr>
              <a:t>pAyment</a:t>
            </a:r>
            <a:r>
              <a:rPr lang="en-IN" baseline="0">
                <a:solidFill>
                  <a:schemeClr val="tx1"/>
                </a:solidFill>
              </a:rPr>
              <a:t> mode distribution</a:t>
            </a:r>
            <a:endParaRPr lang="en-IN">
              <a:solidFill>
                <a:schemeClr val="tx1"/>
              </a:solidFill>
            </a:endParaRPr>
          </a:p>
        </c:rich>
      </c:tx>
      <c:overlay val="0"/>
      <c:spPr>
        <a:noFill/>
        <a:ln>
          <a:solidFill>
            <a:schemeClr val="accent1"/>
          </a:solidFill>
        </a:ln>
        <a:effectLst/>
      </c:spPr>
      <c:txPr>
        <a:bodyPr rot="0" spcFirstLastPara="1" vertOverflow="ellipsis" vert="horz" wrap="square" anchor="ctr" anchorCtr="1"/>
        <a:lstStyle/>
        <a:p>
          <a:pPr>
            <a:defRPr sz="1400" b="1" i="0" u="none" strike="noStrike" kern="1200" cap="all" spc="5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CC0066"/>
          </a:solidFill>
          <a:ln>
            <a:noFill/>
          </a:ln>
          <a:effectLst/>
          <a:scene3d>
            <a:camera prst="orthographicFront"/>
            <a:lightRig rig="brightRoom" dir="t"/>
          </a:scene3d>
          <a:sp3d prstMaterial="flat">
            <a:bevelT w="50800" h="101600" prst="angle"/>
            <a:contourClr>
              <a:srgbClr val="000000"/>
            </a:contourClr>
          </a:sp3d>
        </c:spPr>
      </c:pivotFmt>
      <c:pivotFmt>
        <c:idx val="2"/>
        <c:spPr>
          <a:solidFill>
            <a:srgbClr val="6600CC"/>
          </a:solidFill>
          <a:ln>
            <a:noFill/>
          </a:ln>
          <a:effectLst/>
          <a:scene3d>
            <a:camera prst="orthographicFront"/>
            <a:lightRig rig="brightRoom" dir="t"/>
          </a:scene3d>
          <a:sp3d prstMaterial="flat">
            <a:bevelT w="50800" h="101600" prst="angle"/>
            <a:contourClr>
              <a:srgbClr val="000000"/>
            </a:contourClr>
          </a:sp3d>
        </c:spPr>
      </c:pivotFmt>
      <c:pivotFmt>
        <c:idx val="3"/>
        <c:spPr>
          <a:solidFill>
            <a:srgbClr val="00B0F0"/>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00B0F0"/>
          </a:solidFill>
          <a:ln>
            <a:noFill/>
          </a:ln>
          <a:effectLst/>
          <a:scene3d>
            <a:camera prst="orthographicFront"/>
            <a:lightRig rig="brightRoom" dir="t"/>
          </a:scene3d>
          <a:sp3d prstMaterial="flat">
            <a:bevelT w="50800" h="101600" prst="angle"/>
            <a:contourClr>
              <a:srgbClr val="000000"/>
            </a:contourClr>
          </a:sp3d>
        </c:spPr>
      </c:pivotFmt>
      <c:pivotFmt>
        <c:idx val="6"/>
        <c:spPr>
          <a:solidFill>
            <a:srgbClr val="6600CC"/>
          </a:solidFill>
          <a:ln>
            <a:noFill/>
          </a:ln>
          <a:effectLst/>
          <a:scene3d>
            <a:camera prst="orthographicFront"/>
            <a:lightRig rig="brightRoom" dir="t"/>
          </a:scene3d>
          <a:sp3d prstMaterial="flat">
            <a:bevelT w="50800" h="101600" prst="angle"/>
            <a:contourClr>
              <a:srgbClr val="000000"/>
            </a:contourClr>
          </a:sp3d>
        </c:spPr>
      </c:pivotFmt>
      <c:pivotFmt>
        <c:idx val="7"/>
        <c:spPr>
          <a:solidFill>
            <a:srgbClr val="CC0066"/>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00B0F0"/>
          </a:solidFill>
          <a:ln>
            <a:noFill/>
          </a:ln>
          <a:effectLst/>
          <a:scene3d>
            <a:camera prst="orthographicFront"/>
            <a:lightRig rig="brightRoom" dir="t"/>
          </a:scene3d>
          <a:sp3d prstMaterial="flat">
            <a:bevelT w="50800" h="101600" prst="angle"/>
            <a:contourClr>
              <a:srgbClr val="000000"/>
            </a:contourClr>
          </a:sp3d>
        </c:spPr>
      </c:pivotFmt>
      <c:pivotFmt>
        <c:idx val="11"/>
        <c:spPr>
          <a:solidFill>
            <a:srgbClr val="6600CC"/>
          </a:solidFill>
          <a:ln>
            <a:noFill/>
          </a:ln>
          <a:effectLst/>
          <a:scene3d>
            <a:camera prst="orthographicFront"/>
            <a:lightRig rig="brightRoom" dir="t"/>
          </a:scene3d>
          <a:sp3d prstMaterial="flat">
            <a:bevelT w="50800" h="101600" prst="angle"/>
            <a:contourClr>
              <a:srgbClr val="000000"/>
            </a:contourClr>
          </a:sp3d>
        </c:spPr>
      </c:pivotFmt>
      <c:pivotFmt>
        <c:idx val="12"/>
        <c:spPr>
          <a:solidFill>
            <a:srgbClr val="CC0066"/>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Sheet2!$H$22</c:f>
              <c:strCache>
                <c:ptCount val="1"/>
                <c:pt idx="0">
                  <c:v>Total</c:v>
                </c:pt>
              </c:strCache>
            </c:strRef>
          </c:tx>
          <c:dPt>
            <c:idx val="0"/>
            <c:bubble3D val="0"/>
            <c:spPr>
              <a:solidFill>
                <a:srgbClr val="00B0F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27E-4F3B-BAB0-824BC3E9919C}"/>
              </c:ext>
            </c:extLst>
          </c:dPt>
          <c:dPt>
            <c:idx val="1"/>
            <c:bubble3D val="0"/>
            <c:spPr>
              <a:solidFill>
                <a:srgbClr val="6600CC"/>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27E-4F3B-BAB0-824BC3E9919C}"/>
              </c:ext>
            </c:extLst>
          </c:dPt>
          <c:dPt>
            <c:idx val="2"/>
            <c:bubble3D val="0"/>
            <c:explosion val="9"/>
            <c:spPr>
              <a:solidFill>
                <a:srgbClr val="CC006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A27E-4F3B-BAB0-824BC3E9919C}"/>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A27E-4F3B-BAB0-824BC3E9919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Sheet2!$G$23:$G$27</c:f>
              <c:strCache>
                <c:ptCount val="4"/>
                <c:pt idx="0">
                  <c:v>Card</c:v>
                </c:pt>
                <c:pt idx="1">
                  <c:v>COD</c:v>
                </c:pt>
                <c:pt idx="2">
                  <c:v>NetBanking</c:v>
                </c:pt>
                <c:pt idx="3">
                  <c:v>UPI</c:v>
                </c:pt>
              </c:strCache>
            </c:strRef>
          </c:cat>
          <c:val>
            <c:numRef>
              <c:f>Sheet2!$H$23:$H$27</c:f>
              <c:numCache>
                <c:formatCode>"₹"\ #,##0.00</c:formatCode>
                <c:ptCount val="4"/>
                <c:pt idx="0">
                  <c:v>859165</c:v>
                </c:pt>
                <c:pt idx="1">
                  <c:v>1274074</c:v>
                </c:pt>
                <c:pt idx="2">
                  <c:v>1227512</c:v>
                </c:pt>
                <c:pt idx="3">
                  <c:v>990595</c:v>
                </c:pt>
              </c:numCache>
            </c:numRef>
          </c:val>
          <c:extLst>
            <c:ext xmlns:c16="http://schemas.microsoft.com/office/drawing/2014/chart" uri="{C3380CC4-5D6E-409C-BE32-E72D297353CC}">
              <c16:uniqueId val="{00000008-A27E-4F3B-BAB0-824BC3E9919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3263888888888884"/>
          <c:y val="0.31907298046077576"/>
          <c:w val="0.18958333333333333"/>
          <c:h val="0.379768518518518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0</xdr:col>
      <xdr:colOff>51955</xdr:colOff>
      <xdr:row>0</xdr:row>
      <xdr:rowOff>34636</xdr:rowOff>
    </xdr:from>
    <xdr:to>
      <xdr:col>23</xdr:col>
      <xdr:colOff>554182</xdr:colOff>
      <xdr:row>53</xdr:row>
      <xdr:rowOff>86590</xdr:rowOff>
    </xdr:to>
    <xdr:sp macro="" textlink="$AB$6">
      <xdr:nvSpPr>
        <xdr:cNvPr id="3" name="Rectangle 2">
          <a:extLst>
            <a:ext uri="{FF2B5EF4-FFF2-40B4-BE49-F238E27FC236}">
              <a16:creationId xmlns:a16="http://schemas.microsoft.com/office/drawing/2014/main" id="{AC5F029F-0D69-E899-1DE0-84F75E0EC999}"/>
            </a:ext>
          </a:extLst>
        </xdr:cNvPr>
        <xdr:cNvSpPr/>
      </xdr:nvSpPr>
      <xdr:spPr>
        <a:xfrm>
          <a:off x="51955" y="34636"/>
          <a:ext cx="14443363" cy="10148454"/>
        </a:xfrm>
        <a:prstGeom prst="rect">
          <a:avLst/>
        </a:prstGeom>
        <a:solidFill>
          <a:srgbClr val="0070C0"/>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5B48B37-A43B-44D9-89F9-F2AD4420A69E}" type="TxLink">
            <a:rPr lang="en-US" sz="1100" b="0" i="0" u="none" strike="noStrike">
              <a:ln>
                <a:noFill/>
              </a:ln>
              <a:solidFill>
                <a:srgbClr val="000000"/>
              </a:solidFill>
              <a:latin typeface="Calibri"/>
              <a:cs typeface="Calibri"/>
            </a:rPr>
            <a:pPr algn="l"/>
            <a:t>100</a:t>
          </a:fld>
          <a:endParaRPr lang="en-IN" sz="1100">
            <a:ln>
              <a:noFill/>
            </a:ln>
            <a:noFill/>
          </a:endParaRPr>
        </a:p>
      </xdr:txBody>
    </xdr:sp>
    <xdr:clientData/>
  </xdr:twoCellAnchor>
  <xdr:twoCellAnchor editAs="absolute">
    <xdr:from>
      <xdr:col>0</xdr:col>
      <xdr:colOff>103909</xdr:colOff>
      <xdr:row>0</xdr:row>
      <xdr:rowOff>79459</xdr:rowOff>
    </xdr:from>
    <xdr:to>
      <xdr:col>15</xdr:col>
      <xdr:colOff>414622</xdr:colOff>
      <xdr:row>4</xdr:row>
      <xdr:rowOff>131267</xdr:rowOff>
    </xdr:to>
    <xdr:sp macro="" textlink="">
      <xdr:nvSpPr>
        <xdr:cNvPr id="4" name="Rectangle: Rounded Corners 3">
          <a:extLst>
            <a:ext uri="{FF2B5EF4-FFF2-40B4-BE49-F238E27FC236}">
              <a16:creationId xmlns:a16="http://schemas.microsoft.com/office/drawing/2014/main" id="{77322075-8674-22E4-3298-7CE9807E0F49}"/>
            </a:ext>
          </a:extLst>
        </xdr:cNvPr>
        <xdr:cNvSpPr/>
      </xdr:nvSpPr>
      <xdr:spPr>
        <a:xfrm>
          <a:off x="103909" y="79459"/>
          <a:ext cx="9402758" cy="813808"/>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000">
              <a:solidFill>
                <a:schemeClr val="tx1"/>
              </a:solidFill>
            </a:rPr>
            <a:t>Ecommerce Sales</a:t>
          </a:r>
          <a:r>
            <a:rPr lang="en-IN" sz="4000" baseline="0">
              <a:solidFill>
                <a:schemeClr val="tx1"/>
              </a:solidFill>
            </a:rPr>
            <a:t> Dashboard</a:t>
          </a:r>
          <a:endParaRPr lang="en-IN" sz="4000">
            <a:solidFill>
              <a:schemeClr val="tx1"/>
            </a:solidFill>
          </a:endParaRPr>
        </a:p>
      </xdr:txBody>
    </xdr:sp>
    <xdr:clientData/>
  </xdr:twoCellAnchor>
  <xdr:twoCellAnchor editAs="absolute">
    <xdr:from>
      <xdr:col>10</xdr:col>
      <xdr:colOff>363681</xdr:colOff>
      <xdr:row>37</xdr:row>
      <xdr:rowOff>114097</xdr:rowOff>
    </xdr:from>
    <xdr:to>
      <xdr:col>23</xdr:col>
      <xdr:colOff>484908</xdr:colOff>
      <xdr:row>52</xdr:row>
      <xdr:rowOff>155864</xdr:rowOff>
    </xdr:to>
    <xdr:graphicFrame macro="">
      <xdr:nvGraphicFramePr>
        <xdr:cNvPr id="5" name="Chart 4">
          <a:extLst>
            <a:ext uri="{FF2B5EF4-FFF2-40B4-BE49-F238E27FC236}">
              <a16:creationId xmlns:a16="http://schemas.microsoft.com/office/drawing/2014/main" id="{F76A4513-C0FF-453D-B52B-10985089F0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14</xdr:col>
      <xdr:colOff>398318</xdr:colOff>
      <xdr:row>5</xdr:row>
      <xdr:rowOff>133094</xdr:rowOff>
    </xdr:from>
    <xdr:to>
      <xdr:col>23</xdr:col>
      <xdr:colOff>432955</xdr:colOff>
      <xdr:row>20</xdr:row>
      <xdr:rowOff>86591</xdr:rowOff>
    </xdr:to>
    <xdr:graphicFrame macro="">
      <xdr:nvGraphicFramePr>
        <xdr:cNvPr id="2" name="Chart 1">
          <a:extLst>
            <a:ext uri="{FF2B5EF4-FFF2-40B4-BE49-F238E27FC236}">
              <a16:creationId xmlns:a16="http://schemas.microsoft.com/office/drawing/2014/main" id="{5AED57C3-B434-489B-AA8C-7559329601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17</xdr:col>
      <xdr:colOff>17318</xdr:colOff>
      <xdr:row>21</xdr:row>
      <xdr:rowOff>42232</xdr:rowOff>
    </xdr:from>
    <xdr:to>
      <xdr:col>23</xdr:col>
      <xdr:colOff>432955</xdr:colOff>
      <xdr:row>36</xdr:row>
      <xdr:rowOff>173183</xdr:rowOff>
    </xdr:to>
    <xdr:graphicFrame macro="">
      <xdr:nvGraphicFramePr>
        <xdr:cNvPr id="6" name="Chart 5">
          <a:extLst>
            <a:ext uri="{FF2B5EF4-FFF2-40B4-BE49-F238E27FC236}">
              <a16:creationId xmlns:a16="http://schemas.microsoft.com/office/drawing/2014/main" id="{FEFDF47F-638C-4619-AB5E-9DCD56F2FC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3</xdr:col>
      <xdr:colOff>504216</xdr:colOff>
      <xdr:row>20</xdr:row>
      <xdr:rowOff>183413</xdr:rowOff>
    </xdr:from>
    <xdr:to>
      <xdr:col>16</xdr:col>
      <xdr:colOff>519545</xdr:colOff>
      <xdr:row>37</xdr:row>
      <xdr:rowOff>34637</xdr:rowOff>
    </xdr:to>
    <xdr:graphicFrame macro="">
      <xdr:nvGraphicFramePr>
        <xdr:cNvPr id="9" name="Chart 8">
          <a:extLst>
            <a:ext uri="{FF2B5EF4-FFF2-40B4-BE49-F238E27FC236}">
              <a16:creationId xmlns:a16="http://schemas.microsoft.com/office/drawing/2014/main" id="{3FF68E8E-D5F7-4B47-8162-6057FD3A57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3</xdr:col>
      <xdr:colOff>519546</xdr:colOff>
      <xdr:row>5</xdr:row>
      <xdr:rowOff>89085</xdr:rowOff>
    </xdr:from>
    <xdr:to>
      <xdr:col>14</xdr:col>
      <xdr:colOff>291407</xdr:colOff>
      <xdr:row>20</xdr:row>
      <xdr:rowOff>86591</xdr:rowOff>
    </xdr:to>
    <xdr:graphicFrame macro="">
      <xdr:nvGraphicFramePr>
        <xdr:cNvPr id="10" name="Chart 9">
          <a:extLst>
            <a:ext uri="{FF2B5EF4-FFF2-40B4-BE49-F238E27FC236}">
              <a16:creationId xmlns:a16="http://schemas.microsoft.com/office/drawing/2014/main" id="{52B630EA-23D5-4A52-A803-F11460AD49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15</xdr:col>
      <xdr:colOff>467592</xdr:colOff>
      <xdr:row>0</xdr:row>
      <xdr:rowOff>93368</xdr:rowOff>
    </xdr:from>
    <xdr:to>
      <xdr:col>19</xdr:col>
      <xdr:colOff>490181</xdr:colOff>
      <xdr:row>4</xdr:row>
      <xdr:rowOff>176195</xdr:rowOff>
    </xdr:to>
    <xdr:sp macro="" textlink="$AB$9">
      <xdr:nvSpPr>
        <xdr:cNvPr id="13" name="Rectangle: Rounded Corners 12">
          <a:extLst>
            <a:ext uri="{FF2B5EF4-FFF2-40B4-BE49-F238E27FC236}">
              <a16:creationId xmlns:a16="http://schemas.microsoft.com/office/drawing/2014/main" id="{C2718067-1F6F-E5DF-0594-69751862BA82}"/>
            </a:ext>
          </a:extLst>
        </xdr:cNvPr>
        <xdr:cNvSpPr/>
      </xdr:nvSpPr>
      <xdr:spPr>
        <a:xfrm>
          <a:off x="9559637" y="93368"/>
          <a:ext cx="2447135" cy="844827"/>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0" i="0" u="none" strike="noStrike">
              <a:solidFill>
                <a:srgbClr val="000000"/>
              </a:solidFill>
              <a:latin typeface="Calibri"/>
              <a:cs typeface="Calibri"/>
            </a:rPr>
            <a:t>      Total Sales</a:t>
          </a:r>
        </a:p>
        <a:p>
          <a:pPr algn="l"/>
          <a:r>
            <a:rPr lang="en-US" sz="2000" b="0" i="0" u="none" strike="noStrike">
              <a:solidFill>
                <a:srgbClr val="000000"/>
              </a:solidFill>
              <a:latin typeface="Calibri"/>
              <a:cs typeface="Calibri"/>
            </a:rPr>
            <a:t>   </a:t>
          </a:r>
          <a:fld id="{200BA773-1786-4365-B85F-D701203E8D08}" type="TxLink">
            <a:rPr lang="en-US" sz="2000" b="0" i="0" u="none" strike="noStrike">
              <a:solidFill>
                <a:srgbClr val="000000"/>
              </a:solidFill>
              <a:latin typeface="Calibri"/>
              <a:cs typeface="Calibri"/>
            </a:rPr>
            <a:t> ₹ 43,51,346.00 </a:t>
          </a:fld>
          <a:endParaRPr lang="en-US" sz="4000" b="0" i="0" u="none" strike="noStrike">
            <a:solidFill>
              <a:srgbClr val="000000"/>
            </a:solidFill>
            <a:latin typeface="Calibri"/>
            <a:cs typeface="Calibri"/>
          </a:endParaRPr>
        </a:p>
      </xdr:txBody>
    </xdr:sp>
    <xdr:clientData/>
  </xdr:twoCellAnchor>
  <xdr:twoCellAnchor editAs="absolute">
    <xdr:from>
      <xdr:col>19</xdr:col>
      <xdr:colOff>519546</xdr:colOff>
      <xdr:row>0</xdr:row>
      <xdr:rowOff>86591</xdr:rowOff>
    </xdr:from>
    <xdr:to>
      <xdr:col>23</xdr:col>
      <xdr:colOff>381002</xdr:colOff>
      <xdr:row>5</xdr:row>
      <xdr:rowOff>0</xdr:rowOff>
    </xdr:to>
    <xdr:sp macro="" textlink="$AB$6">
      <xdr:nvSpPr>
        <xdr:cNvPr id="8" name="Rectangle: Rounded Corners 7">
          <a:extLst>
            <a:ext uri="{FF2B5EF4-FFF2-40B4-BE49-F238E27FC236}">
              <a16:creationId xmlns:a16="http://schemas.microsoft.com/office/drawing/2014/main" id="{3EBD78B7-92A0-BDD3-08C5-055E37A57314}"/>
            </a:ext>
          </a:extLst>
        </xdr:cNvPr>
        <xdr:cNvSpPr/>
      </xdr:nvSpPr>
      <xdr:spPr>
        <a:xfrm>
          <a:off x="12036137" y="86591"/>
          <a:ext cx="2286001" cy="865909"/>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0" i="0" u="none" strike="noStrike">
              <a:solidFill>
                <a:srgbClr val="000000"/>
              </a:solidFill>
              <a:latin typeface="Calibri"/>
              <a:cs typeface="Calibri"/>
            </a:rPr>
            <a:t> Total Orders</a:t>
          </a:r>
        </a:p>
        <a:p>
          <a:pPr algn="l"/>
          <a:r>
            <a:rPr lang="en-US" sz="2000" b="0" i="0" u="none" strike="noStrike">
              <a:solidFill>
                <a:srgbClr val="000000"/>
              </a:solidFill>
              <a:latin typeface="Calibri"/>
              <a:cs typeface="Calibri"/>
            </a:rPr>
            <a:t>           </a:t>
          </a:r>
          <a:fld id="{A39A94F7-A8F9-43C2-AE8E-BF2313902009}" type="TxLink">
            <a:rPr lang="en-US" sz="2000" b="0" i="0" u="none" strike="noStrike">
              <a:solidFill>
                <a:srgbClr val="000000"/>
              </a:solidFill>
              <a:latin typeface="Calibri"/>
              <a:cs typeface="Calibri"/>
            </a:rPr>
            <a:t>100</a:t>
          </a:fld>
          <a:endParaRPr lang="en-IN" sz="9600"/>
        </a:p>
      </xdr:txBody>
    </xdr:sp>
    <xdr:clientData/>
  </xdr:twoCellAnchor>
  <xdr:twoCellAnchor editAs="absolute">
    <xdr:from>
      <xdr:col>0</xdr:col>
      <xdr:colOff>121227</xdr:colOff>
      <xdr:row>5</xdr:row>
      <xdr:rowOff>17317</xdr:rowOff>
    </xdr:from>
    <xdr:to>
      <xdr:col>3</xdr:col>
      <xdr:colOff>363682</xdr:colOff>
      <xdr:row>37</xdr:row>
      <xdr:rowOff>103909</xdr:rowOff>
    </xdr:to>
    <xdr:sp macro="" textlink="">
      <xdr:nvSpPr>
        <xdr:cNvPr id="15" name="Rectangle: Rounded Corners 14">
          <a:extLst>
            <a:ext uri="{FF2B5EF4-FFF2-40B4-BE49-F238E27FC236}">
              <a16:creationId xmlns:a16="http://schemas.microsoft.com/office/drawing/2014/main" id="{36ECF7AB-EE97-D580-BC78-933C669D83B0}"/>
            </a:ext>
          </a:extLst>
        </xdr:cNvPr>
        <xdr:cNvSpPr/>
      </xdr:nvSpPr>
      <xdr:spPr>
        <a:xfrm>
          <a:off x="121227" y="969817"/>
          <a:ext cx="2060864" cy="6182592"/>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346364</xdr:colOff>
      <xdr:row>6</xdr:row>
      <xdr:rowOff>81704</xdr:rowOff>
    </xdr:from>
    <xdr:to>
      <xdr:col>3</xdr:col>
      <xdr:colOff>173183</xdr:colOff>
      <xdr:row>14</xdr:row>
      <xdr:rowOff>103908</xdr:rowOff>
    </xdr:to>
    <mc:AlternateContent xmlns:mc="http://schemas.openxmlformats.org/markup-compatibility/2006">
      <mc:Choice xmlns:a14="http://schemas.microsoft.com/office/drawing/2010/main" Requires="a14">
        <xdr:graphicFrame macro="">
          <xdr:nvGraphicFramePr>
            <xdr:cNvPr id="12" name="OrderStatus">
              <a:extLst>
                <a:ext uri="{FF2B5EF4-FFF2-40B4-BE49-F238E27FC236}">
                  <a16:creationId xmlns:a16="http://schemas.microsoft.com/office/drawing/2014/main" id="{709B2F6A-0E10-4A8A-A9DB-2244178A07A6}"/>
                </a:ext>
              </a:extLst>
            </xdr:cNvPr>
            <xdr:cNvGraphicFramePr/>
          </xdr:nvGraphicFramePr>
          <xdr:xfrm>
            <a:off x="0" y="0"/>
            <a:ext cx="0" cy="0"/>
          </xdr:xfrm>
          <a:graphic>
            <a:graphicData uri="http://schemas.microsoft.com/office/drawing/2010/slicer">
              <sle:slicer xmlns:sle="http://schemas.microsoft.com/office/drawing/2010/slicer" name="OrderStatus"/>
            </a:graphicData>
          </a:graphic>
        </xdr:graphicFrame>
      </mc:Choice>
      <mc:Fallback>
        <xdr:sp macro="" textlink="">
          <xdr:nvSpPr>
            <xdr:cNvPr id="0" name=""/>
            <xdr:cNvSpPr>
              <a:spLocks noTextEdit="1"/>
            </xdr:cNvSpPr>
          </xdr:nvSpPr>
          <xdr:spPr>
            <a:xfrm>
              <a:off x="346364" y="1224704"/>
              <a:ext cx="1645228" cy="15462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340303</xdr:colOff>
      <xdr:row>14</xdr:row>
      <xdr:rowOff>178274</xdr:rowOff>
    </xdr:from>
    <xdr:to>
      <xdr:col>3</xdr:col>
      <xdr:colOff>155864</xdr:colOff>
      <xdr:row>23</xdr:row>
      <xdr:rowOff>51955</xdr:rowOff>
    </xdr:to>
    <mc:AlternateContent xmlns:mc="http://schemas.openxmlformats.org/markup-compatibility/2006">
      <mc:Choice xmlns:a14="http://schemas.microsoft.com/office/drawing/2010/main" Requires="a14">
        <xdr:graphicFrame macro="">
          <xdr:nvGraphicFramePr>
            <xdr:cNvPr id="7" name="Order Month">
              <a:extLst>
                <a:ext uri="{FF2B5EF4-FFF2-40B4-BE49-F238E27FC236}">
                  <a16:creationId xmlns:a16="http://schemas.microsoft.com/office/drawing/2014/main" id="{8D364578-9398-4D19-8F08-C98A73D280D1}"/>
                </a:ext>
              </a:extLst>
            </xdr:cNvPr>
            <xdr:cNvGraphicFramePr/>
          </xdr:nvGraphicFramePr>
          <xdr:xfrm>
            <a:off x="0" y="0"/>
            <a:ext cx="0" cy="0"/>
          </xdr:xfrm>
          <a:graphic>
            <a:graphicData uri="http://schemas.microsoft.com/office/drawing/2010/slicer">
              <sle:slicer xmlns:sle="http://schemas.microsoft.com/office/drawing/2010/slicer" name="Order Month"/>
            </a:graphicData>
          </a:graphic>
        </xdr:graphicFrame>
      </mc:Choice>
      <mc:Fallback>
        <xdr:sp macro="" textlink="">
          <xdr:nvSpPr>
            <xdr:cNvPr id="0" name=""/>
            <xdr:cNvSpPr>
              <a:spLocks noTextEdit="1"/>
            </xdr:cNvSpPr>
          </xdr:nvSpPr>
          <xdr:spPr>
            <a:xfrm>
              <a:off x="340303" y="2845274"/>
              <a:ext cx="1633970" cy="15881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355584</xdr:colOff>
      <xdr:row>23</xdr:row>
      <xdr:rowOff>167068</xdr:rowOff>
    </xdr:from>
    <xdr:to>
      <xdr:col>3</xdr:col>
      <xdr:colOff>138546</xdr:colOff>
      <xdr:row>31</xdr:row>
      <xdr:rowOff>111040</xdr:rowOff>
    </xdr:to>
    <mc:AlternateContent xmlns:mc="http://schemas.openxmlformats.org/markup-compatibility/2006">
      <mc:Choice xmlns:a14="http://schemas.microsoft.com/office/drawing/2010/main" Requires="a14">
        <xdr:graphicFrame macro="">
          <xdr:nvGraphicFramePr>
            <xdr:cNvPr id="11" name="Region">
              <a:extLst>
                <a:ext uri="{FF2B5EF4-FFF2-40B4-BE49-F238E27FC236}">
                  <a16:creationId xmlns:a16="http://schemas.microsoft.com/office/drawing/2014/main" id="{28A9407A-ED1C-4E5F-8FAC-F5BEAFB62B8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55584" y="4548568"/>
              <a:ext cx="1601371" cy="14679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190500</xdr:colOff>
      <xdr:row>37</xdr:row>
      <xdr:rowOff>173180</xdr:rowOff>
    </xdr:from>
    <xdr:to>
      <xdr:col>10</xdr:col>
      <xdr:colOff>225136</xdr:colOff>
      <xdr:row>52</xdr:row>
      <xdr:rowOff>155863</xdr:rowOff>
    </xdr:to>
    <xdr:graphicFrame macro="">
      <xdr:nvGraphicFramePr>
        <xdr:cNvPr id="16" name="Chart 15">
          <a:extLst>
            <a:ext uri="{FF2B5EF4-FFF2-40B4-BE49-F238E27FC236}">
              <a16:creationId xmlns:a16="http://schemas.microsoft.com/office/drawing/2014/main" id="{49D27BDE-3B96-4E91-9338-5E87FD1CC6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18</xdr:col>
      <xdr:colOff>0</xdr:colOff>
      <xdr:row>62</xdr:row>
      <xdr:rowOff>0</xdr:rowOff>
    </xdr:from>
    <xdr:to>
      <xdr:col>19</xdr:col>
      <xdr:colOff>308264</xdr:colOff>
      <xdr:row>66</xdr:row>
      <xdr:rowOff>152400</xdr:rowOff>
    </xdr:to>
    <xdr:pic>
      <xdr:nvPicPr>
        <xdr:cNvPr id="18" name="Graphic 17" descr="Shopping cart with solid fill">
          <a:extLst>
            <a:ext uri="{FF2B5EF4-FFF2-40B4-BE49-F238E27FC236}">
              <a16:creationId xmlns:a16="http://schemas.microsoft.com/office/drawing/2014/main" id="{6A240227-A652-376B-7608-CBE3C146484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910455" y="11811000"/>
          <a:ext cx="914400" cy="914400"/>
        </a:xfrm>
        <a:prstGeom prst="rect">
          <a:avLst/>
        </a:prstGeom>
      </xdr:spPr>
    </xdr:pic>
    <xdr:clientData/>
  </xdr:twoCellAnchor>
  <xdr:twoCellAnchor editAs="absolute">
    <xdr:from>
      <xdr:col>18</xdr:col>
      <xdr:colOff>0</xdr:colOff>
      <xdr:row>62</xdr:row>
      <xdr:rowOff>0</xdr:rowOff>
    </xdr:from>
    <xdr:to>
      <xdr:col>19</xdr:col>
      <xdr:colOff>308264</xdr:colOff>
      <xdr:row>66</xdr:row>
      <xdr:rowOff>152400</xdr:rowOff>
    </xdr:to>
    <xdr:pic>
      <xdr:nvPicPr>
        <xdr:cNvPr id="20" name="Graphic 19" descr="Shopping cart with solid fill">
          <a:extLst>
            <a:ext uri="{FF2B5EF4-FFF2-40B4-BE49-F238E27FC236}">
              <a16:creationId xmlns:a16="http://schemas.microsoft.com/office/drawing/2014/main" id="{F2CA4128-422F-8C85-B2ED-91AAA6DFE37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910455" y="11811000"/>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ezan" refreshedDate="46113.877992939815" createdVersion="8" refreshedVersion="8" minRefreshableVersion="3" recordCount="100" xr:uid="{AE1785C6-0D08-4483-9CED-DAD18E5E8B3E}">
  <cacheSource type="worksheet">
    <worksheetSource name="ecommerce_100_rows"/>
  </cacheSource>
  <cacheFields count="21">
    <cacheField name="OrderID" numFmtId="0">
      <sharedItems containsSemiMixedTypes="0" containsString="0" containsNumber="1" containsInteger="1" minValue="1001" maxValue="1100"/>
    </cacheField>
    <cacheField name="OrderDate" numFmtId="14">
      <sharedItems containsSemiMixedTypes="0" containsNonDate="0" containsDate="1" containsString="0" minDate="2024-01-01T00:00:00" maxDate="2024-03-02T00:00:00"/>
    </cacheField>
    <cacheField name="ShipDate" numFmtId="14">
      <sharedItems containsSemiMixedTypes="0" containsNonDate="0" containsDate="1" containsString="0" minDate="2024-01-02T00:00:00" maxDate="2024-03-06T00:00:00"/>
    </cacheField>
    <cacheField name="CustomerID" numFmtId="0">
      <sharedItems/>
    </cacheField>
    <cacheField name="CustomerName" numFmtId="0">
      <sharedItems/>
    </cacheField>
    <cacheField name="City" numFmtId="0">
      <sharedItems/>
    </cacheField>
    <cacheField name="State" numFmtId="0">
      <sharedItems/>
    </cacheField>
    <cacheField name="Region" numFmtId="0">
      <sharedItems count="4">
        <s v="North"/>
        <s v="West"/>
        <s v="Central"/>
        <s v="East"/>
      </sharedItems>
    </cacheField>
    <cacheField name="ProductID" numFmtId="0">
      <sharedItems/>
    </cacheField>
    <cacheField name="ProductName" numFmtId="0">
      <sharedItems count="10">
        <s v="Keyboard"/>
        <s v="Laptop"/>
        <s v="Pen"/>
        <s v="Bottle"/>
        <s v="Sofa"/>
        <s v="Monitor"/>
        <s v="Notebook"/>
        <s v="Table"/>
        <s v="Chair"/>
        <s v="Mouse"/>
      </sharedItems>
    </cacheField>
    <cacheField name="Category" numFmtId="0">
      <sharedItems count="4">
        <s v="Electronics"/>
        <s v="Stationery"/>
        <s v="Home"/>
        <s v="Furniture"/>
      </sharedItems>
    </cacheField>
    <cacheField name="Quantity" numFmtId="0">
      <sharedItems containsSemiMixedTypes="0" containsString="0" containsNumber="1" containsInteger="1" minValue="1" maxValue="10"/>
    </cacheField>
    <cacheField name="UnitPrice" numFmtId="0">
      <sharedItems containsSemiMixedTypes="0" containsString="0" containsNumber="1" containsInteger="1" minValue="100" maxValue="55000"/>
    </cacheField>
    <cacheField name="Discount" numFmtId="0">
      <sharedItems containsSemiMixedTypes="0" containsString="0" containsNumber="1" minValue="0.02" maxValue="0.2"/>
    </cacheField>
    <cacheField name="ShippingCost" numFmtId="0">
      <sharedItems containsSemiMixedTypes="0" containsString="0" containsNumber="1" containsInteger="1" minValue="13" maxValue="498"/>
    </cacheField>
    <cacheField name="PaymentMode" numFmtId="0">
      <sharedItems count="4">
        <s v="UPI"/>
        <s v="Card"/>
        <s v="NetBanking"/>
        <s v="COD"/>
      </sharedItems>
    </cacheField>
    <cacheField name="OrderStatus" numFmtId="0">
      <sharedItems count="3">
        <s v="Returned"/>
        <s v="Delivered"/>
        <s v="Cancelled"/>
      </sharedItems>
    </cacheField>
    <cacheField name="Total Sales" numFmtId="0">
      <sharedItems containsSemiMixedTypes="0" containsString="0" containsNumber="1" containsInteger="1" minValue="200" maxValue="550000"/>
    </cacheField>
    <cacheField name="Discount Value" numFmtId="0">
      <sharedItems containsSemiMixedTypes="0" containsString="0" containsNumber="1" containsInteger="1" minValue="4" maxValue="66000"/>
    </cacheField>
    <cacheField name="Net Sales" numFmtId="0">
      <sharedItems containsSemiMixedTypes="0" containsString="0" containsNumber="1" containsInteger="1" minValue="196" maxValue="539000"/>
    </cacheField>
    <cacheField name="Order Month" numFmtId="0">
      <sharedItems count="3">
        <s v="February"/>
        <s v="January"/>
        <s v="March"/>
      </sharedItems>
    </cacheField>
  </cacheFields>
  <extLst>
    <ext xmlns:x14="http://schemas.microsoft.com/office/spreadsheetml/2009/9/main" uri="{725AE2AE-9491-48be-B2B4-4EB974FC3084}">
      <x14:pivotCacheDefinition pivotCacheId="6669138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001"/>
    <d v="2024-02-10T00:00:00"/>
    <d v="2024-02-11T00:00:00"/>
    <s v="C001"/>
    <s v="Customer_1"/>
    <s v="Delhi"/>
    <s v="Delhi"/>
    <x v="0"/>
    <s v="P105"/>
    <x v="0"/>
    <x v="0"/>
    <n v="4"/>
    <n v="500"/>
    <n v="0.05"/>
    <n v="387"/>
    <x v="0"/>
    <x v="0"/>
    <n v="2000"/>
    <n v="100"/>
    <n v="1900"/>
    <x v="0"/>
  </r>
  <r>
    <n v="1002"/>
    <d v="2024-02-17T00:00:00"/>
    <d v="2024-02-22T00:00:00"/>
    <s v="C002"/>
    <s v="Customer_2"/>
    <s v="Mumbai"/>
    <s v="Maharashtra"/>
    <x v="1"/>
    <s v="P110"/>
    <x v="1"/>
    <x v="0"/>
    <n v="7"/>
    <n v="100"/>
    <n v="0.02"/>
    <n v="57"/>
    <x v="1"/>
    <x v="1"/>
    <n v="700"/>
    <n v="14"/>
    <n v="686"/>
    <x v="0"/>
  </r>
  <r>
    <n v="1003"/>
    <d v="2024-02-02T00:00:00"/>
    <d v="2024-02-07T00:00:00"/>
    <s v="C003"/>
    <s v="Customer_3"/>
    <s v="Delhi"/>
    <s v="Delhi"/>
    <x v="0"/>
    <s v="P109"/>
    <x v="2"/>
    <x v="1"/>
    <n v="4"/>
    <n v="12000"/>
    <n v="0.15"/>
    <n v="122"/>
    <x v="2"/>
    <x v="0"/>
    <n v="48000"/>
    <n v="7200"/>
    <n v="40800"/>
    <x v="0"/>
  </r>
  <r>
    <n v="1004"/>
    <d v="2024-01-18T00:00:00"/>
    <d v="2024-01-19T00:00:00"/>
    <s v="C004"/>
    <s v="Customer_4"/>
    <s v="Kanpur"/>
    <s v="Uttar Pradesh"/>
    <x v="0"/>
    <s v="P107"/>
    <x v="3"/>
    <x v="2"/>
    <n v="6"/>
    <n v="800"/>
    <n v="0.05"/>
    <n v="120"/>
    <x v="3"/>
    <x v="1"/>
    <n v="4800"/>
    <n v="240"/>
    <n v="4560"/>
    <x v="1"/>
  </r>
  <r>
    <n v="1005"/>
    <d v="2024-01-06T00:00:00"/>
    <d v="2024-01-10T00:00:00"/>
    <s v="C005"/>
    <s v="Customer_5"/>
    <s v="Mumbai"/>
    <s v="Maharashtra"/>
    <x v="1"/>
    <s v="P106"/>
    <x v="4"/>
    <x v="3"/>
    <n v="6"/>
    <n v="55000"/>
    <n v="0.1"/>
    <n v="423"/>
    <x v="0"/>
    <x v="0"/>
    <n v="330000"/>
    <n v="33000"/>
    <n v="297000"/>
    <x v="1"/>
  </r>
  <r>
    <n v="1006"/>
    <d v="2024-01-30T00:00:00"/>
    <d v="2024-02-04T00:00:00"/>
    <s v="C006"/>
    <s v="Customer_6"/>
    <s v="Mumbai"/>
    <s v="Maharashtra"/>
    <x v="1"/>
    <s v="P107"/>
    <x v="3"/>
    <x v="2"/>
    <n v="2"/>
    <n v="12000"/>
    <n v="0.1"/>
    <n v="434"/>
    <x v="3"/>
    <x v="0"/>
    <n v="24000"/>
    <n v="2400"/>
    <n v="21600"/>
    <x v="1"/>
  </r>
  <r>
    <n v="1007"/>
    <d v="2024-01-13T00:00:00"/>
    <d v="2024-01-14T00:00:00"/>
    <s v="C007"/>
    <s v="Customer_7"/>
    <s v="Delhi"/>
    <s v="Delhi"/>
    <x v="0"/>
    <s v="P104"/>
    <x v="5"/>
    <x v="0"/>
    <n v="5"/>
    <n v="200"/>
    <n v="0.05"/>
    <n v="453"/>
    <x v="0"/>
    <x v="2"/>
    <n v="1000"/>
    <n v="50"/>
    <n v="950"/>
    <x v="1"/>
  </r>
  <r>
    <n v="1008"/>
    <d v="2024-01-18T00:00:00"/>
    <d v="2024-01-22T00:00:00"/>
    <s v="C008"/>
    <s v="Customer_8"/>
    <s v="Chandigarh"/>
    <s v="Punjab"/>
    <x v="0"/>
    <s v="P103"/>
    <x v="6"/>
    <x v="1"/>
    <n v="6"/>
    <n v="1500"/>
    <n v="0.05"/>
    <n v="353"/>
    <x v="3"/>
    <x v="0"/>
    <n v="9000"/>
    <n v="450"/>
    <n v="8550"/>
    <x v="1"/>
  </r>
  <r>
    <n v="1009"/>
    <d v="2024-02-29T00:00:00"/>
    <d v="2024-03-01T00:00:00"/>
    <s v="C009"/>
    <s v="Customer_9"/>
    <s v="Bhopal"/>
    <s v="Madhya Pradesh"/>
    <x v="2"/>
    <s v="P103"/>
    <x v="6"/>
    <x v="1"/>
    <n v="9"/>
    <n v="500"/>
    <n v="0.05"/>
    <n v="246"/>
    <x v="2"/>
    <x v="2"/>
    <n v="4500"/>
    <n v="225"/>
    <n v="4275"/>
    <x v="0"/>
  </r>
  <r>
    <n v="1010"/>
    <d v="2024-02-29T00:00:00"/>
    <d v="2024-03-05T00:00:00"/>
    <s v="C010"/>
    <s v="Customer_10"/>
    <s v="Jaipur"/>
    <s v="Rajasthan"/>
    <x v="1"/>
    <s v="P106"/>
    <x v="4"/>
    <x v="3"/>
    <n v="1"/>
    <n v="500"/>
    <n v="0.02"/>
    <n v="422"/>
    <x v="3"/>
    <x v="2"/>
    <n v="500"/>
    <n v="10"/>
    <n v="490"/>
    <x v="0"/>
  </r>
  <r>
    <n v="1011"/>
    <d v="2024-01-18T00:00:00"/>
    <d v="2024-01-19T00:00:00"/>
    <s v="C011"/>
    <s v="Customer_11"/>
    <s v="Jaipur"/>
    <s v="Rajasthan"/>
    <x v="1"/>
    <s v="P110"/>
    <x v="1"/>
    <x v="0"/>
    <n v="6"/>
    <n v="500"/>
    <n v="0.15"/>
    <n v="212"/>
    <x v="2"/>
    <x v="1"/>
    <n v="3000"/>
    <n v="450"/>
    <n v="2550"/>
    <x v="1"/>
  </r>
  <r>
    <n v="1012"/>
    <d v="2024-01-17T00:00:00"/>
    <d v="2024-01-19T00:00:00"/>
    <s v="C012"/>
    <s v="Customer_12"/>
    <s v="Jaipur"/>
    <s v="Rajasthan"/>
    <x v="1"/>
    <s v="P109"/>
    <x v="2"/>
    <x v="1"/>
    <n v="9"/>
    <n v="800"/>
    <n v="0.2"/>
    <n v="229"/>
    <x v="2"/>
    <x v="2"/>
    <n v="7200"/>
    <n v="1440"/>
    <n v="5760"/>
    <x v="1"/>
  </r>
  <r>
    <n v="1013"/>
    <d v="2024-01-15T00:00:00"/>
    <d v="2024-01-17T00:00:00"/>
    <s v="C013"/>
    <s v="Customer_13"/>
    <s v="Lucknow"/>
    <s v="Uttar Pradesh"/>
    <x v="0"/>
    <s v="P108"/>
    <x v="7"/>
    <x v="3"/>
    <n v="2"/>
    <n v="100"/>
    <n v="0.02"/>
    <n v="88"/>
    <x v="1"/>
    <x v="0"/>
    <n v="200"/>
    <n v="4"/>
    <n v="196"/>
    <x v="1"/>
  </r>
  <r>
    <n v="1014"/>
    <d v="2024-01-28T00:00:00"/>
    <d v="2024-02-02T00:00:00"/>
    <s v="C014"/>
    <s v="Customer_14"/>
    <s v="Mumbai"/>
    <s v="Maharashtra"/>
    <x v="1"/>
    <s v="P107"/>
    <x v="3"/>
    <x v="2"/>
    <n v="7"/>
    <n v="55000"/>
    <n v="0.15"/>
    <n v="280"/>
    <x v="3"/>
    <x v="0"/>
    <n v="385000"/>
    <n v="57750"/>
    <n v="327250"/>
    <x v="1"/>
  </r>
  <r>
    <n v="1015"/>
    <d v="2024-02-25T00:00:00"/>
    <d v="2024-02-26T00:00:00"/>
    <s v="C015"/>
    <s v="Customer_15"/>
    <s v="Mumbai"/>
    <s v="Maharashtra"/>
    <x v="1"/>
    <s v="P109"/>
    <x v="2"/>
    <x v="1"/>
    <n v="5"/>
    <n v="1500"/>
    <n v="0.02"/>
    <n v="160"/>
    <x v="2"/>
    <x v="1"/>
    <n v="7500"/>
    <n v="150"/>
    <n v="7350"/>
    <x v="0"/>
  </r>
  <r>
    <n v="1016"/>
    <d v="2024-01-30T00:00:00"/>
    <d v="2024-01-31T00:00:00"/>
    <s v="C016"/>
    <s v="Customer_16"/>
    <s v="Ahmedabad"/>
    <s v="Gujarat"/>
    <x v="1"/>
    <s v="P109"/>
    <x v="2"/>
    <x v="1"/>
    <n v="3"/>
    <n v="12000"/>
    <n v="0.02"/>
    <n v="455"/>
    <x v="3"/>
    <x v="0"/>
    <n v="36000"/>
    <n v="720"/>
    <n v="35280"/>
    <x v="1"/>
  </r>
  <r>
    <n v="1017"/>
    <d v="2024-02-02T00:00:00"/>
    <d v="2024-02-07T00:00:00"/>
    <s v="C017"/>
    <s v="Customer_17"/>
    <s v="Jaipur"/>
    <s v="Rajasthan"/>
    <x v="1"/>
    <s v="P103"/>
    <x v="6"/>
    <x v="1"/>
    <n v="6"/>
    <n v="300"/>
    <n v="0.2"/>
    <n v="498"/>
    <x v="0"/>
    <x v="0"/>
    <n v="1800"/>
    <n v="360"/>
    <n v="1440"/>
    <x v="0"/>
  </r>
  <r>
    <n v="1018"/>
    <d v="2024-01-21T00:00:00"/>
    <d v="2024-01-25T00:00:00"/>
    <s v="C018"/>
    <s v="Customer_18"/>
    <s v="Delhi"/>
    <s v="Delhi"/>
    <x v="0"/>
    <s v="P102"/>
    <x v="8"/>
    <x v="3"/>
    <n v="6"/>
    <n v="800"/>
    <n v="0.05"/>
    <n v="39"/>
    <x v="1"/>
    <x v="0"/>
    <n v="4800"/>
    <n v="240"/>
    <n v="4560"/>
    <x v="1"/>
  </r>
  <r>
    <n v="1019"/>
    <d v="2024-03-01T00:00:00"/>
    <d v="2024-03-02T00:00:00"/>
    <s v="C019"/>
    <s v="Customer_19"/>
    <s v="Mumbai"/>
    <s v="Maharashtra"/>
    <x v="1"/>
    <s v="P108"/>
    <x v="7"/>
    <x v="3"/>
    <n v="2"/>
    <n v="12000"/>
    <n v="0.05"/>
    <n v="75"/>
    <x v="2"/>
    <x v="0"/>
    <n v="24000"/>
    <n v="1200"/>
    <n v="22800"/>
    <x v="2"/>
  </r>
  <r>
    <n v="1020"/>
    <d v="2024-01-11T00:00:00"/>
    <d v="2024-01-14T00:00:00"/>
    <s v="C020"/>
    <s v="Customer_20"/>
    <s v="Lucknow"/>
    <s v="Uttar Pradesh"/>
    <x v="0"/>
    <s v="P110"/>
    <x v="1"/>
    <x v="0"/>
    <n v="7"/>
    <n v="500"/>
    <n v="0.2"/>
    <n v="396"/>
    <x v="1"/>
    <x v="0"/>
    <n v="3500"/>
    <n v="700"/>
    <n v="2800"/>
    <x v="1"/>
  </r>
  <r>
    <n v="1021"/>
    <d v="2024-01-20T00:00:00"/>
    <d v="2024-01-24T00:00:00"/>
    <s v="C021"/>
    <s v="Customer_21"/>
    <s v="Chandigarh"/>
    <s v="Punjab"/>
    <x v="0"/>
    <s v="P108"/>
    <x v="7"/>
    <x v="3"/>
    <n v="9"/>
    <n v="7000"/>
    <n v="0.02"/>
    <n v="136"/>
    <x v="1"/>
    <x v="1"/>
    <n v="63000"/>
    <n v="1260"/>
    <n v="61740"/>
    <x v="1"/>
  </r>
  <r>
    <n v="1022"/>
    <d v="2024-01-22T00:00:00"/>
    <d v="2024-01-23T00:00:00"/>
    <s v="C022"/>
    <s v="Customer_22"/>
    <s v="Bhopal"/>
    <s v="Madhya Pradesh"/>
    <x v="2"/>
    <s v="P109"/>
    <x v="2"/>
    <x v="1"/>
    <n v="4"/>
    <n v="55000"/>
    <n v="0.05"/>
    <n v="13"/>
    <x v="0"/>
    <x v="0"/>
    <n v="220000"/>
    <n v="11000"/>
    <n v="209000"/>
    <x v="1"/>
  </r>
  <r>
    <n v="1023"/>
    <d v="2024-02-10T00:00:00"/>
    <d v="2024-02-11T00:00:00"/>
    <s v="C023"/>
    <s v="Customer_23"/>
    <s v="Jaipur"/>
    <s v="Rajasthan"/>
    <x v="1"/>
    <s v="P102"/>
    <x v="8"/>
    <x v="3"/>
    <n v="1"/>
    <n v="1500"/>
    <n v="0.02"/>
    <n v="273"/>
    <x v="1"/>
    <x v="2"/>
    <n v="1500"/>
    <n v="30"/>
    <n v="1470"/>
    <x v="0"/>
  </r>
  <r>
    <n v="1024"/>
    <d v="2024-02-12T00:00:00"/>
    <d v="2024-02-16T00:00:00"/>
    <s v="C024"/>
    <s v="Customer_24"/>
    <s v="Jaipur"/>
    <s v="Rajasthan"/>
    <x v="1"/>
    <s v="P109"/>
    <x v="2"/>
    <x v="1"/>
    <n v="3"/>
    <n v="55000"/>
    <n v="0.2"/>
    <n v="252"/>
    <x v="1"/>
    <x v="2"/>
    <n v="165000"/>
    <n v="33000"/>
    <n v="132000"/>
    <x v="0"/>
  </r>
  <r>
    <n v="1025"/>
    <d v="2024-02-21T00:00:00"/>
    <d v="2024-02-25T00:00:00"/>
    <s v="C025"/>
    <s v="Customer_25"/>
    <s v="Jaipur"/>
    <s v="Rajasthan"/>
    <x v="1"/>
    <s v="P102"/>
    <x v="8"/>
    <x v="3"/>
    <n v="2"/>
    <n v="3000"/>
    <n v="0.1"/>
    <n v="226"/>
    <x v="2"/>
    <x v="2"/>
    <n v="6000"/>
    <n v="600"/>
    <n v="5400"/>
    <x v="0"/>
  </r>
  <r>
    <n v="1026"/>
    <d v="2024-02-25T00:00:00"/>
    <d v="2024-02-26T00:00:00"/>
    <s v="C026"/>
    <s v="Customer_26"/>
    <s v="Mumbai"/>
    <s v="Maharashtra"/>
    <x v="1"/>
    <s v="P101"/>
    <x v="9"/>
    <x v="0"/>
    <n v="7"/>
    <n v="1500"/>
    <n v="0.02"/>
    <n v="137"/>
    <x v="1"/>
    <x v="1"/>
    <n v="10500"/>
    <n v="210"/>
    <n v="10290"/>
    <x v="0"/>
  </r>
  <r>
    <n v="1027"/>
    <d v="2024-02-04T00:00:00"/>
    <d v="2024-02-08T00:00:00"/>
    <s v="C027"/>
    <s v="Customer_27"/>
    <s v="Kanpur"/>
    <s v="Uttar Pradesh"/>
    <x v="0"/>
    <s v="P107"/>
    <x v="3"/>
    <x v="2"/>
    <n v="3"/>
    <n v="800"/>
    <n v="0.15"/>
    <n v="137"/>
    <x v="0"/>
    <x v="2"/>
    <n v="2400"/>
    <n v="360"/>
    <n v="2040"/>
    <x v="0"/>
  </r>
  <r>
    <n v="1028"/>
    <d v="2024-02-21T00:00:00"/>
    <d v="2024-02-26T00:00:00"/>
    <s v="C028"/>
    <s v="Customer_28"/>
    <s v="Mumbai"/>
    <s v="Maharashtra"/>
    <x v="1"/>
    <s v="P101"/>
    <x v="9"/>
    <x v="0"/>
    <n v="9"/>
    <n v="100"/>
    <n v="0.02"/>
    <n v="484"/>
    <x v="1"/>
    <x v="1"/>
    <n v="900"/>
    <n v="18"/>
    <n v="882"/>
    <x v="0"/>
  </r>
  <r>
    <n v="1029"/>
    <d v="2024-01-27T00:00:00"/>
    <d v="2024-01-31T00:00:00"/>
    <s v="C029"/>
    <s v="Customer_29"/>
    <s v="Kolkata"/>
    <s v="West Bengal"/>
    <x v="3"/>
    <s v="P104"/>
    <x v="5"/>
    <x v="0"/>
    <n v="7"/>
    <n v="100"/>
    <n v="0.05"/>
    <n v="204"/>
    <x v="0"/>
    <x v="2"/>
    <n v="700"/>
    <n v="35"/>
    <n v="665"/>
    <x v="1"/>
  </r>
  <r>
    <n v="1030"/>
    <d v="2024-01-17T00:00:00"/>
    <d v="2024-01-21T00:00:00"/>
    <s v="C030"/>
    <s v="Customer_30"/>
    <s v="Ahmedabad"/>
    <s v="Gujarat"/>
    <x v="1"/>
    <s v="P107"/>
    <x v="3"/>
    <x v="2"/>
    <n v="9"/>
    <n v="7000"/>
    <n v="0.05"/>
    <n v="107"/>
    <x v="3"/>
    <x v="1"/>
    <n v="63000"/>
    <n v="3150"/>
    <n v="59850"/>
    <x v="1"/>
  </r>
  <r>
    <n v="1031"/>
    <d v="2024-01-04T00:00:00"/>
    <d v="2024-01-09T00:00:00"/>
    <s v="C031"/>
    <s v="Customer_31"/>
    <s v="Lucknow"/>
    <s v="Uttar Pradesh"/>
    <x v="0"/>
    <s v="P101"/>
    <x v="9"/>
    <x v="0"/>
    <n v="6"/>
    <n v="100"/>
    <n v="0.02"/>
    <n v="309"/>
    <x v="2"/>
    <x v="0"/>
    <n v="600"/>
    <n v="12"/>
    <n v="588"/>
    <x v="1"/>
  </r>
  <r>
    <n v="1032"/>
    <d v="2024-02-28T00:00:00"/>
    <d v="2024-03-04T00:00:00"/>
    <s v="C032"/>
    <s v="Customer_32"/>
    <s v="Kanpur"/>
    <s v="Uttar Pradesh"/>
    <x v="0"/>
    <s v="P101"/>
    <x v="9"/>
    <x v="0"/>
    <n v="9"/>
    <n v="200"/>
    <n v="0.05"/>
    <n v="45"/>
    <x v="0"/>
    <x v="0"/>
    <n v="1800"/>
    <n v="90"/>
    <n v="1710"/>
    <x v="0"/>
  </r>
  <r>
    <n v="1033"/>
    <d v="2024-02-25T00:00:00"/>
    <d v="2024-02-27T00:00:00"/>
    <s v="C033"/>
    <s v="Customer_33"/>
    <s v="Indore"/>
    <s v="Madhya Pradesh"/>
    <x v="2"/>
    <s v="P102"/>
    <x v="8"/>
    <x v="3"/>
    <n v="10"/>
    <n v="500"/>
    <n v="0.2"/>
    <n v="314"/>
    <x v="0"/>
    <x v="0"/>
    <n v="5000"/>
    <n v="1000"/>
    <n v="4000"/>
    <x v="0"/>
  </r>
  <r>
    <n v="1034"/>
    <d v="2024-01-06T00:00:00"/>
    <d v="2024-01-10T00:00:00"/>
    <s v="C034"/>
    <s v="Customer_34"/>
    <s v="Bhopal"/>
    <s v="Madhya Pradesh"/>
    <x v="2"/>
    <s v="P110"/>
    <x v="1"/>
    <x v="0"/>
    <n v="9"/>
    <n v="1500"/>
    <n v="0.1"/>
    <n v="114"/>
    <x v="3"/>
    <x v="1"/>
    <n v="13500"/>
    <n v="1350"/>
    <n v="12150"/>
    <x v="1"/>
  </r>
  <r>
    <n v="1035"/>
    <d v="2024-01-17T00:00:00"/>
    <d v="2024-01-21T00:00:00"/>
    <s v="C035"/>
    <s v="Customer_35"/>
    <s v="Kanpur"/>
    <s v="Uttar Pradesh"/>
    <x v="0"/>
    <s v="P105"/>
    <x v="0"/>
    <x v="0"/>
    <n v="8"/>
    <n v="1500"/>
    <n v="0.02"/>
    <n v="14"/>
    <x v="2"/>
    <x v="0"/>
    <n v="12000"/>
    <n v="240"/>
    <n v="11760"/>
    <x v="1"/>
  </r>
  <r>
    <n v="1036"/>
    <d v="2024-02-06T00:00:00"/>
    <d v="2024-02-07T00:00:00"/>
    <s v="C036"/>
    <s v="Customer_36"/>
    <s v="Mumbai"/>
    <s v="Maharashtra"/>
    <x v="1"/>
    <s v="P109"/>
    <x v="2"/>
    <x v="1"/>
    <n v="4"/>
    <n v="12000"/>
    <n v="0.1"/>
    <n v="77"/>
    <x v="3"/>
    <x v="1"/>
    <n v="48000"/>
    <n v="4800"/>
    <n v="43200"/>
    <x v="0"/>
  </r>
  <r>
    <n v="1037"/>
    <d v="2024-02-26T00:00:00"/>
    <d v="2024-02-28T00:00:00"/>
    <s v="C037"/>
    <s v="Customer_37"/>
    <s v="Chandigarh"/>
    <s v="Punjab"/>
    <x v="0"/>
    <s v="P105"/>
    <x v="0"/>
    <x v="0"/>
    <n v="3"/>
    <n v="7000"/>
    <n v="0.2"/>
    <n v="370"/>
    <x v="3"/>
    <x v="0"/>
    <n v="21000"/>
    <n v="4200"/>
    <n v="16800"/>
    <x v="0"/>
  </r>
  <r>
    <n v="1038"/>
    <d v="2024-02-21T00:00:00"/>
    <d v="2024-02-26T00:00:00"/>
    <s v="C038"/>
    <s v="Customer_38"/>
    <s v="Delhi"/>
    <s v="Delhi"/>
    <x v="0"/>
    <s v="P109"/>
    <x v="2"/>
    <x v="1"/>
    <n v="5"/>
    <n v="200"/>
    <n v="0.05"/>
    <n v="145"/>
    <x v="0"/>
    <x v="1"/>
    <n v="1000"/>
    <n v="50"/>
    <n v="950"/>
    <x v="0"/>
  </r>
  <r>
    <n v="1039"/>
    <d v="2024-02-17T00:00:00"/>
    <d v="2024-02-22T00:00:00"/>
    <s v="C039"/>
    <s v="Customer_39"/>
    <s v="Kanpur"/>
    <s v="Uttar Pradesh"/>
    <x v="0"/>
    <s v="P105"/>
    <x v="0"/>
    <x v="0"/>
    <n v="5"/>
    <n v="55000"/>
    <n v="0.05"/>
    <n v="377"/>
    <x v="3"/>
    <x v="1"/>
    <n v="275000"/>
    <n v="13750"/>
    <n v="261250"/>
    <x v="0"/>
  </r>
  <r>
    <n v="1040"/>
    <d v="2024-02-13T00:00:00"/>
    <d v="2024-02-16T00:00:00"/>
    <s v="C040"/>
    <s v="Customer_40"/>
    <s v="Lucknow"/>
    <s v="Uttar Pradesh"/>
    <x v="0"/>
    <s v="P108"/>
    <x v="7"/>
    <x v="3"/>
    <n v="5"/>
    <n v="100"/>
    <n v="0.02"/>
    <n v="334"/>
    <x v="2"/>
    <x v="2"/>
    <n v="500"/>
    <n v="10"/>
    <n v="490"/>
    <x v="0"/>
  </r>
  <r>
    <n v="1041"/>
    <d v="2024-01-03T00:00:00"/>
    <d v="2024-01-04T00:00:00"/>
    <s v="C041"/>
    <s v="Customer_41"/>
    <s v="Chandigarh"/>
    <s v="Punjab"/>
    <x v="0"/>
    <s v="P103"/>
    <x v="6"/>
    <x v="1"/>
    <n v="5"/>
    <n v="300"/>
    <n v="0.15"/>
    <n v="292"/>
    <x v="2"/>
    <x v="0"/>
    <n v="1500"/>
    <n v="225"/>
    <n v="1275"/>
    <x v="1"/>
  </r>
  <r>
    <n v="1042"/>
    <d v="2024-01-01T00:00:00"/>
    <d v="2024-01-02T00:00:00"/>
    <s v="C042"/>
    <s v="Customer_42"/>
    <s v="Mumbai"/>
    <s v="Maharashtra"/>
    <x v="1"/>
    <s v="P103"/>
    <x v="6"/>
    <x v="1"/>
    <n v="9"/>
    <n v="100"/>
    <n v="0.1"/>
    <n v="308"/>
    <x v="1"/>
    <x v="2"/>
    <n v="900"/>
    <n v="90"/>
    <n v="810"/>
    <x v="1"/>
  </r>
  <r>
    <n v="1043"/>
    <d v="2024-01-09T00:00:00"/>
    <d v="2024-01-10T00:00:00"/>
    <s v="C043"/>
    <s v="Customer_43"/>
    <s v="Ahmedabad"/>
    <s v="Gujarat"/>
    <x v="1"/>
    <s v="P106"/>
    <x v="4"/>
    <x v="3"/>
    <n v="1"/>
    <n v="1500"/>
    <n v="0.05"/>
    <n v="359"/>
    <x v="1"/>
    <x v="0"/>
    <n v="1500"/>
    <n v="75"/>
    <n v="1425"/>
    <x v="1"/>
  </r>
  <r>
    <n v="1044"/>
    <d v="2024-01-07T00:00:00"/>
    <d v="2024-01-10T00:00:00"/>
    <s v="C044"/>
    <s v="Customer_44"/>
    <s v="Lucknow"/>
    <s v="Uttar Pradesh"/>
    <x v="0"/>
    <s v="P107"/>
    <x v="3"/>
    <x v="2"/>
    <n v="10"/>
    <n v="300"/>
    <n v="0.05"/>
    <n v="452"/>
    <x v="1"/>
    <x v="1"/>
    <n v="3000"/>
    <n v="150"/>
    <n v="2850"/>
    <x v="1"/>
  </r>
  <r>
    <n v="1045"/>
    <d v="2024-02-26T00:00:00"/>
    <d v="2024-03-01T00:00:00"/>
    <s v="C045"/>
    <s v="Customer_45"/>
    <s v="Delhi"/>
    <s v="Delhi"/>
    <x v="0"/>
    <s v="P103"/>
    <x v="6"/>
    <x v="1"/>
    <n v="6"/>
    <n v="3000"/>
    <n v="0.05"/>
    <n v="146"/>
    <x v="1"/>
    <x v="0"/>
    <n v="18000"/>
    <n v="900"/>
    <n v="17100"/>
    <x v="0"/>
  </r>
  <r>
    <n v="1046"/>
    <d v="2024-01-07T00:00:00"/>
    <d v="2024-01-11T00:00:00"/>
    <s v="C046"/>
    <s v="Customer_46"/>
    <s v="Delhi"/>
    <s v="Delhi"/>
    <x v="0"/>
    <s v="P108"/>
    <x v="7"/>
    <x v="3"/>
    <n v="4"/>
    <n v="500"/>
    <n v="0.15"/>
    <n v="189"/>
    <x v="3"/>
    <x v="1"/>
    <n v="2000"/>
    <n v="300"/>
    <n v="1700"/>
    <x v="1"/>
  </r>
  <r>
    <n v="1047"/>
    <d v="2024-01-15T00:00:00"/>
    <d v="2024-01-16T00:00:00"/>
    <s v="C047"/>
    <s v="Customer_47"/>
    <s v="Jaipur"/>
    <s v="Rajasthan"/>
    <x v="1"/>
    <s v="P107"/>
    <x v="3"/>
    <x v="2"/>
    <n v="6"/>
    <n v="800"/>
    <n v="0.02"/>
    <n v="405"/>
    <x v="3"/>
    <x v="2"/>
    <n v="4800"/>
    <n v="96"/>
    <n v="4704"/>
    <x v="1"/>
  </r>
  <r>
    <n v="1048"/>
    <d v="2024-02-11T00:00:00"/>
    <d v="2024-02-16T00:00:00"/>
    <s v="C048"/>
    <s v="Customer_48"/>
    <s v="Indore"/>
    <s v="Madhya Pradesh"/>
    <x v="2"/>
    <s v="P109"/>
    <x v="2"/>
    <x v="1"/>
    <n v="6"/>
    <n v="100"/>
    <n v="0.02"/>
    <n v="459"/>
    <x v="3"/>
    <x v="1"/>
    <n v="600"/>
    <n v="12"/>
    <n v="588"/>
    <x v="0"/>
  </r>
  <r>
    <n v="1049"/>
    <d v="2024-02-07T00:00:00"/>
    <d v="2024-02-10T00:00:00"/>
    <s v="C049"/>
    <s v="Customer_49"/>
    <s v="Delhi"/>
    <s v="Delhi"/>
    <x v="0"/>
    <s v="P102"/>
    <x v="8"/>
    <x v="3"/>
    <n v="10"/>
    <n v="3000"/>
    <n v="0.1"/>
    <n v="383"/>
    <x v="3"/>
    <x v="2"/>
    <n v="30000"/>
    <n v="3000"/>
    <n v="27000"/>
    <x v="0"/>
  </r>
  <r>
    <n v="1050"/>
    <d v="2024-02-08T00:00:00"/>
    <d v="2024-02-13T00:00:00"/>
    <s v="C050"/>
    <s v="Customer_50"/>
    <s v="Mumbai"/>
    <s v="Maharashtra"/>
    <x v="1"/>
    <s v="P107"/>
    <x v="3"/>
    <x v="2"/>
    <n v="10"/>
    <n v="500"/>
    <n v="0.1"/>
    <n v="32"/>
    <x v="2"/>
    <x v="1"/>
    <n v="5000"/>
    <n v="500"/>
    <n v="4500"/>
    <x v="0"/>
  </r>
  <r>
    <n v="1051"/>
    <d v="2024-02-03T00:00:00"/>
    <d v="2024-02-08T00:00:00"/>
    <s v="C051"/>
    <s v="Customer_51"/>
    <s v="Jaipur"/>
    <s v="Rajasthan"/>
    <x v="1"/>
    <s v="P106"/>
    <x v="4"/>
    <x v="3"/>
    <n v="7"/>
    <n v="200"/>
    <n v="0.1"/>
    <n v="329"/>
    <x v="3"/>
    <x v="0"/>
    <n v="1400"/>
    <n v="140"/>
    <n v="1260"/>
    <x v="0"/>
  </r>
  <r>
    <n v="1052"/>
    <d v="2024-02-24T00:00:00"/>
    <d v="2024-02-25T00:00:00"/>
    <s v="C052"/>
    <s v="Customer_52"/>
    <s v="Ahmedabad"/>
    <s v="Gujarat"/>
    <x v="1"/>
    <s v="P109"/>
    <x v="2"/>
    <x v="1"/>
    <n v="5"/>
    <n v="3000"/>
    <n v="0.1"/>
    <n v="216"/>
    <x v="3"/>
    <x v="0"/>
    <n v="15000"/>
    <n v="1500"/>
    <n v="13500"/>
    <x v="0"/>
  </r>
  <r>
    <n v="1053"/>
    <d v="2024-01-09T00:00:00"/>
    <d v="2024-01-11T00:00:00"/>
    <s v="C053"/>
    <s v="Customer_53"/>
    <s v="Indore"/>
    <s v="Madhya Pradesh"/>
    <x v="2"/>
    <s v="P107"/>
    <x v="3"/>
    <x v="2"/>
    <n v="3"/>
    <n v="55000"/>
    <n v="0.2"/>
    <n v="164"/>
    <x v="2"/>
    <x v="0"/>
    <n v="165000"/>
    <n v="33000"/>
    <n v="132000"/>
    <x v="1"/>
  </r>
  <r>
    <n v="1054"/>
    <d v="2024-02-23T00:00:00"/>
    <d v="2024-02-24T00:00:00"/>
    <s v="C054"/>
    <s v="Customer_54"/>
    <s v="Ahmedabad"/>
    <s v="Gujarat"/>
    <x v="1"/>
    <s v="P105"/>
    <x v="0"/>
    <x v="0"/>
    <n v="4"/>
    <n v="3000"/>
    <n v="0.2"/>
    <n v="320"/>
    <x v="3"/>
    <x v="2"/>
    <n v="12000"/>
    <n v="2400"/>
    <n v="9600"/>
    <x v="0"/>
  </r>
  <r>
    <n v="1055"/>
    <d v="2024-01-29T00:00:00"/>
    <d v="2024-02-02T00:00:00"/>
    <s v="C055"/>
    <s v="Customer_55"/>
    <s v="Jaipur"/>
    <s v="Rajasthan"/>
    <x v="1"/>
    <s v="P109"/>
    <x v="2"/>
    <x v="1"/>
    <n v="8"/>
    <n v="300"/>
    <n v="0.02"/>
    <n v="155"/>
    <x v="3"/>
    <x v="1"/>
    <n v="2400"/>
    <n v="48"/>
    <n v="2352"/>
    <x v="1"/>
  </r>
  <r>
    <n v="1056"/>
    <d v="2024-02-22T00:00:00"/>
    <d v="2024-02-24T00:00:00"/>
    <s v="C056"/>
    <s v="Customer_56"/>
    <s v="Ahmedabad"/>
    <s v="Gujarat"/>
    <x v="1"/>
    <s v="P104"/>
    <x v="5"/>
    <x v="0"/>
    <n v="4"/>
    <n v="300"/>
    <n v="0.02"/>
    <n v="33"/>
    <x v="1"/>
    <x v="2"/>
    <n v="1200"/>
    <n v="24"/>
    <n v="1176"/>
    <x v="0"/>
  </r>
  <r>
    <n v="1057"/>
    <d v="2024-02-09T00:00:00"/>
    <d v="2024-02-10T00:00:00"/>
    <s v="C057"/>
    <s v="Customer_57"/>
    <s v="Kolkata"/>
    <s v="West Bengal"/>
    <x v="3"/>
    <s v="P107"/>
    <x v="3"/>
    <x v="2"/>
    <n v="10"/>
    <n v="500"/>
    <n v="0.15"/>
    <n v="263"/>
    <x v="2"/>
    <x v="1"/>
    <n v="5000"/>
    <n v="750"/>
    <n v="4250"/>
    <x v="0"/>
  </r>
  <r>
    <n v="1058"/>
    <d v="2024-01-10T00:00:00"/>
    <d v="2024-01-11T00:00:00"/>
    <s v="C058"/>
    <s v="Customer_58"/>
    <s v="Mumbai"/>
    <s v="Maharashtra"/>
    <x v="1"/>
    <s v="P107"/>
    <x v="3"/>
    <x v="2"/>
    <n v="4"/>
    <n v="300"/>
    <n v="0.2"/>
    <n v="247"/>
    <x v="0"/>
    <x v="0"/>
    <n v="1200"/>
    <n v="240"/>
    <n v="960"/>
    <x v="1"/>
  </r>
  <r>
    <n v="1059"/>
    <d v="2024-01-16T00:00:00"/>
    <d v="2024-01-17T00:00:00"/>
    <s v="C059"/>
    <s v="Customer_59"/>
    <s v="Kolkata"/>
    <s v="West Bengal"/>
    <x v="3"/>
    <s v="P103"/>
    <x v="6"/>
    <x v="1"/>
    <n v="8"/>
    <n v="12000"/>
    <n v="0.2"/>
    <n v="314"/>
    <x v="3"/>
    <x v="2"/>
    <n v="96000"/>
    <n v="19200"/>
    <n v="76800"/>
    <x v="1"/>
  </r>
  <r>
    <n v="1060"/>
    <d v="2024-02-09T00:00:00"/>
    <d v="2024-02-14T00:00:00"/>
    <s v="C060"/>
    <s v="Customer_60"/>
    <s v="Indore"/>
    <s v="Madhya Pradesh"/>
    <x v="2"/>
    <s v="P109"/>
    <x v="2"/>
    <x v="1"/>
    <n v="8"/>
    <n v="300"/>
    <n v="0.15"/>
    <n v="240"/>
    <x v="3"/>
    <x v="1"/>
    <n v="2400"/>
    <n v="360"/>
    <n v="2040"/>
    <x v="0"/>
  </r>
  <r>
    <n v="1061"/>
    <d v="2024-02-23T00:00:00"/>
    <d v="2024-02-26T00:00:00"/>
    <s v="C061"/>
    <s v="Customer_61"/>
    <s v="Lucknow"/>
    <s v="Uttar Pradesh"/>
    <x v="0"/>
    <s v="P108"/>
    <x v="7"/>
    <x v="3"/>
    <n v="4"/>
    <n v="800"/>
    <n v="0.15"/>
    <n v="49"/>
    <x v="3"/>
    <x v="1"/>
    <n v="3200"/>
    <n v="480"/>
    <n v="2720"/>
    <x v="0"/>
  </r>
  <r>
    <n v="1062"/>
    <d v="2024-01-18T00:00:00"/>
    <d v="2024-01-21T00:00:00"/>
    <s v="C062"/>
    <s v="Customer_62"/>
    <s v="Chandigarh"/>
    <s v="Punjab"/>
    <x v="0"/>
    <s v="P109"/>
    <x v="2"/>
    <x v="1"/>
    <n v="2"/>
    <n v="300"/>
    <n v="0.05"/>
    <n v="128"/>
    <x v="2"/>
    <x v="0"/>
    <n v="600"/>
    <n v="30"/>
    <n v="570"/>
    <x v="1"/>
  </r>
  <r>
    <n v="1063"/>
    <d v="2024-01-10T00:00:00"/>
    <d v="2024-01-12T00:00:00"/>
    <s v="C063"/>
    <s v="Customer_63"/>
    <s v="Mumbai"/>
    <s v="Maharashtra"/>
    <x v="1"/>
    <s v="P107"/>
    <x v="3"/>
    <x v="2"/>
    <n v="7"/>
    <n v="1500"/>
    <n v="0.2"/>
    <n v="248"/>
    <x v="2"/>
    <x v="1"/>
    <n v="10500"/>
    <n v="2100"/>
    <n v="8400"/>
    <x v="1"/>
  </r>
  <r>
    <n v="1064"/>
    <d v="2024-01-14T00:00:00"/>
    <d v="2024-01-18T00:00:00"/>
    <s v="C064"/>
    <s v="Customer_64"/>
    <s v="Indore"/>
    <s v="Madhya Pradesh"/>
    <x v="2"/>
    <s v="P110"/>
    <x v="1"/>
    <x v="0"/>
    <n v="1"/>
    <n v="55000"/>
    <n v="0.15"/>
    <n v="254"/>
    <x v="0"/>
    <x v="2"/>
    <n v="55000"/>
    <n v="8250"/>
    <n v="46750"/>
    <x v="1"/>
  </r>
  <r>
    <n v="1065"/>
    <d v="2024-01-20T00:00:00"/>
    <d v="2024-01-24T00:00:00"/>
    <s v="C065"/>
    <s v="Customer_65"/>
    <s v="Indore"/>
    <s v="Madhya Pradesh"/>
    <x v="2"/>
    <s v="P109"/>
    <x v="2"/>
    <x v="1"/>
    <n v="9"/>
    <n v="55000"/>
    <n v="0.05"/>
    <n v="259"/>
    <x v="1"/>
    <x v="2"/>
    <n v="495000"/>
    <n v="24750"/>
    <n v="470250"/>
    <x v="1"/>
  </r>
  <r>
    <n v="1066"/>
    <d v="2024-01-28T00:00:00"/>
    <d v="2024-02-01T00:00:00"/>
    <s v="C066"/>
    <s v="Customer_66"/>
    <s v="Delhi"/>
    <s v="Delhi"/>
    <x v="0"/>
    <s v="P107"/>
    <x v="3"/>
    <x v="2"/>
    <n v="6"/>
    <n v="3000"/>
    <n v="0.05"/>
    <n v="440"/>
    <x v="2"/>
    <x v="1"/>
    <n v="18000"/>
    <n v="900"/>
    <n v="17100"/>
    <x v="1"/>
  </r>
  <r>
    <n v="1067"/>
    <d v="2024-02-09T00:00:00"/>
    <d v="2024-02-14T00:00:00"/>
    <s v="C067"/>
    <s v="Customer_67"/>
    <s v="Delhi"/>
    <s v="Delhi"/>
    <x v="0"/>
    <s v="P107"/>
    <x v="3"/>
    <x v="2"/>
    <n v="10"/>
    <n v="55000"/>
    <n v="0.02"/>
    <n v="52"/>
    <x v="2"/>
    <x v="1"/>
    <n v="550000"/>
    <n v="11000"/>
    <n v="539000"/>
    <x v="0"/>
  </r>
  <r>
    <n v="1068"/>
    <d v="2024-02-25T00:00:00"/>
    <d v="2024-02-29T00:00:00"/>
    <s v="C068"/>
    <s v="Customer_68"/>
    <s v="Kanpur"/>
    <s v="Uttar Pradesh"/>
    <x v="0"/>
    <s v="P101"/>
    <x v="9"/>
    <x v="0"/>
    <n v="5"/>
    <n v="3000"/>
    <n v="0.1"/>
    <n v="118"/>
    <x v="2"/>
    <x v="2"/>
    <n v="15000"/>
    <n v="1500"/>
    <n v="13500"/>
    <x v="0"/>
  </r>
  <r>
    <n v="1069"/>
    <d v="2024-01-22T00:00:00"/>
    <d v="2024-01-26T00:00:00"/>
    <s v="C069"/>
    <s v="Customer_69"/>
    <s v="Ahmedabad"/>
    <s v="Gujarat"/>
    <x v="1"/>
    <s v="P107"/>
    <x v="3"/>
    <x v="2"/>
    <n v="5"/>
    <n v="200"/>
    <n v="0.15"/>
    <n v="19"/>
    <x v="0"/>
    <x v="2"/>
    <n v="1000"/>
    <n v="150"/>
    <n v="850"/>
    <x v="1"/>
  </r>
  <r>
    <n v="1070"/>
    <d v="2024-01-15T00:00:00"/>
    <d v="2024-01-16T00:00:00"/>
    <s v="C070"/>
    <s v="Customer_70"/>
    <s v="Delhi"/>
    <s v="Delhi"/>
    <x v="0"/>
    <s v="P101"/>
    <x v="9"/>
    <x v="0"/>
    <n v="4"/>
    <n v="500"/>
    <n v="0.02"/>
    <n v="328"/>
    <x v="1"/>
    <x v="1"/>
    <n v="2000"/>
    <n v="40"/>
    <n v="1960"/>
    <x v="1"/>
  </r>
  <r>
    <n v="1071"/>
    <d v="2024-01-09T00:00:00"/>
    <d v="2024-01-13T00:00:00"/>
    <s v="C071"/>
    <s v="Customer_71"/>
    <s v="Mumbai"/>
    <s v="Maharashtra"/>
    <x v="1"/>
    <s v="P110"/>
    <x v="1"/>
    <x v="0"/>
    <n v="4"/>
    <n v="7000"/>
    <n v="0.1"/>
    <n v="402"/>
    <x v="3"/>
    <x v="1"/>
    <n v="28000"/>
    <n v="2800"/>
    <n v="25200"/>
    <x v="1"/>
  </r>
  <r>
    <n v="1072"/>
    <d v="2024-02-08T00:00:00"/>
    <d v="2024-02-13T00:00:00"/>
    <s v="C072"/>
    <s v="Customer_72"/>
    <s v="Mumbai"/>
    <s v="Maharashtra"/>
    <x v="1"/>
    <s v="P103"/>
    <x v="6"/>
    <x v="1"/>
    <n v="5"/>
    <n v="200"/>
    <n v="0.2"/>
    <n v="23"/>
    <x v="3"/>
    <x v="0"/>
    <n v="1000"/>
    <n v="200"/>
    <n v="800"/>
    <x v="0"/>
  </r>
  <r>
    <n v="1073"/>
    <d v="2024-02-13T00:00:00"/>
    <d v="2024-02-17T00:00:00"/>
    <s v="C073"/>
    <s v="Customer_73"/>
    <s v="Indore"/>
    <s v="Madhya Pradesh"/>
    <x v="2"/>
    <s v="P104"/>
    <x v="5"/>
    <x v="0"/>
    <n v="2"/>
    <n v="55000"/>
    <n v="0.05"/>
    <n v="62"/>
    <x v="3"/>
    <x v="0"/>
    <n v="110000"/>
    <n v="5500"/>
    <n v="104500"/>
    <x v="0"/>
  </r>
  <r>
    <n v="1074"/>
    <d v="2024-02-08T00:00:00"/>
    <d v="2024-02-09T00:00:00"/>
    <s v="C074"/>
    <s v="Customer_74"/>
    <s v="Bhopal"/>
    <s v="Madhya Pradesh"/>
    <x v="2"/>
    <s v="P101"/>
    <x v="9"/>
    <x v="0"/>
    <n v="6"/>
    <n v="12000"/>
    <n v="0.15"/>
    <n v="348"/>
    <x v="3"/>
    <x v="1"/>
    <n v="72000"/>
    <n v="10800"/>
    <n v="61200"/>
    <x v="0"/>
  </r>
  <r>
    <n v="1075"/>
    <d v="2024-02-02T00:00:00"/>
    <d v="2024-02-05T00:00:00"/>
    <s v="C075"/>
    <s v="Customer_75"/>
    <s v="Delhi"/>
    <s v="Delhi"/>
    <x v="0"/>
    <s v="P107"/>
    <x v="3"/>
    <x v="2"/>
    <n v="8"/>
    <n v="200"/>
    <n v="0.15"/>
    <n v="195"/>
    <x v="2"/>
    <x v="0"/>
    <n v="1600"/>
    <n v="240"/>
    <n v="1360"/>
    <x v="0"/>
  </r>
  <r>
    <n v="1076"/>
    <d v="2024-01-10T00:00:00"/>
    <d v="2024-01-14T00:00:00"/>
    <s v="C076"/>
    <s v="Customer_76"/>
    <s v="Kanpur"/>
    <s v="Uttar Pradesh"/>
    <x v="0"/>
    <s v="P109"/>
    <x v="2"/>
    <x v="1"/>
    <n v="5"/>
    <n v="55000"/>
    <n v="0.2"/>
    <n v="406"/>
    <x v="2"/>
    <x v="2"/>
    <n v="275000"/>
    <n v="55000"/>
    <n v="220000"/>
    <x v="1"/>
  </r>
  <r>
    <n v="1077"/>
    <d v="2024-01-28T00:00:00"/>
    <d v="2024-02-02T00:00:00"/>
    <s v="C077"/>
    <s v="Customer_77"/>
    <s v="Ahmedabad"/>
    <s v="Gujarat"/>
    <x v="1"/>
    <s v="P106"/>
    <x v="4"/>
    <x v="3"/>
    <n v="4"/>
    <n v="200"/>
    <n v="0.1"/>
    <n v="461"/>
    <x v="2"/>
    <x v="1"/>
    <n v="800"/>
    <n v="80"/>
    <n v="720"/>
    <x v="1"/>
  </r>
  <r>
    <n v="1078"/>
    <d v="2024-02-18T00:00:00"/>
    <d v="2024-02-22T00:00:00"/>
    <s v="C078"/>
    <s v="Customer_78"/>
    <s v="Bhopal"/>
    <s v="Madhya Pradesh"/>
    <x v="2"/>
    <s v="P110"/>
    <x v="1"/>
    <x v="0"/>
    <n v="7"/>
    <n v="1500"/>
    <n v="0.02"/>
    <n v="263"/>
    <x v="3"/>
    <x v="1"/>
    <n v="10500"/>
    <n v="210"/>
    <n v="10290"/>
    <x v="0"/>
  </r>
  <r>
    <n v="1079"/>
    <d v="2024-02-01T00:00:00"/>
    <d v="2024-02-03T00:00:00"/>
    <s v="C079"/>
    <s v="Customer_79"/>
    <s v="Chandigarh"/>
    <s v="Punjab"/>
    <x v="0"/>
    <s v="P105"/>
    <x v="0"/>
    <x v="0"/>
    <n v="6"/>
    <n v="800"/>
    <n v="0.2"/>
    <n v="369"/>
    <x v="3"/>
    <x v="0"/>
    <n v="4800"/>
    <n v="960"/>
    <n v="3840"/>
    <x v="0"/>
  </r>
  <r>
    <n v="1080"/>
    <d v="2024-01-01T00:00:00"/>
    <d v="2024-01-06T00:00:00"/>
    <s v="C080"/>
    <s v="Customer_80"/>
    <s v="Jaipur"/>
    <s v="Rajasthan"/>
    <x v="1"/>
    <s v="P102"/>
    <x v="8"/>
    <x v="3"/>
    <n v="4"/>
    <n v="3000"/>
    <n v="0.15"/>
    <n v="294"/>
    <x v="1"/>
    <x v="0"/>
    <n v="12000"/>
    <n v="1800"/>
    <n v="10200"/>
    <x v="1"/>
  </r>
  <r>
    <n v="1081"/>
    <d v="2024-01-31T00:00:00"/>
    <d v="2024-02-04T00:00:00"/>
    <s v="C081"/>
    <s v="Customer_81"/>
    <s v="Kolkata"/>
    <s v="West Bengal"/>
    <x v="3"/>
    <s v="P101"/>
    <x v="9"/>
    <x v="0"/>
    <n v="2"/>
    <n v="800"/>
    <n v="0.05"/>
    <n v="217"/>
    <x v="1"/>
    <x v="2"/>
    <n v="1600"/>
    <n v="80"/>
    <n v="1520"/>
    <x v="1"/>
  </r>
  <r>
    <n v="1082"/>
    <d v="2024-02-12T00:00:00"/>
    <d v="2024-02-17T00:00:00"/>
    <s v="C082"/>
    <s v="Customer_82"/>
    <s v="Chandigarh"/>
    <s v="Punjab"/>
    <x v="0"/>
    <s v="P108"/>
    <x v="7"/>
    <x v="3"/>
    <n v="9"/>
    <n v="12000"/>
    <n v="0.1"/>
    <n v="227"/>
    <x v="3"/>
    <x v="2"/>
    <n v="108000"/>
    <n v="10800"/>
    <n v="97200"/>
    <x v="0"/>
  </r>
  <r>
    <n v="1083"/>
    <d v="2024-02-14T00:00:00"/>
    <d v="2024-02-18T00:00:00"/>
    <s v="C083"/>
    <s v="Customer_83"/>
    <s v="Ahmedabad"/>
    <s v="Gujarat"/>
    <x v="1"/>
    <s v="P105"/>
    <x v="0"/>
    <x v="0"/>
    <n v="5"/>
    <n v="500"/>
    <n v="0.02"/>
    <n v="379"/>
    <x v="1"/>
    <x v="2"/>
    <n v="2500"/>
    <n v="50"/>
    <n v="2450"/>
    <x v="0"/>
  </r>
  <r>
    <n v="1084"/>
    <d v="2024-01-08T00:00:00"/>
    <d v="2024-01-13T00:00:00"/>
    <s v="C084"/>
    <s v="Customer_84"/>
    <s v="Kanpur"/>
    <s v="Uttar Pradesh"/>
    <x v="0"/>
    <s v="P104"/>
    <x v="5"/>
    <x v="0"/>
    <n v="4"/>
    <n v="7000"/>
    <n v="0.1"/>
    <n v="380"/>
    <x v="3"/>
    <x v="1"/>
    <n v="28000"/>
    <n v="2800"/>
    <n v="25200"/>
    <x v="1"/>
  </r>
  <r>
    <n v="1085"/>
    <d v="2024-02-23T00:00:00"/>
    <d v="2024-02-25T00:00:00"/>
    <s v="C085"/>
    <s v="Customer_85"/>
    <s v="Ahmedabad"/>
    <s v="Gujarat"/>
    <x v="1"/>
    <s v="P104"/>
    <x v="5"/>
    <x v="0"/>
    <n v="6"/>
    <n v="300"/>
    <n v="0.1"/>
    <n v="17"/>
    <x v="1"/>
    <x v="2"/>
    <n v="1800"/>
    <n v="180"/>
    <n v="1620"/>
    <x v="0"/>
  </r>
  <r>
    <n v="1086"/>
    <d v="2024-01-03T00:00:00"/>
    <d v="2024-01-04T00:00:00"/>
    <s v="C086"/>
    <s v="Customer_86"/>
    <s v="Lucknow"/>
    <s v="Uttar Pradesh"/>
    <x v="0"/>
    <s v="P105"/>
    <x v="0"/>
    <x v="0"/>
    <n v="3"/>
    <n v="7000"/>
    <n v="0.02"/>
    <n v="456"/>
    <x v="0"/>
    <x v="0"/>
    <n v="21000"/>
    <n v="420"/>
    <n v="20580"/>
    <x v="1"/>
  </r>
  <r>
    <n v="1087"/>
    <d v="2024-01-19T00:00:00"/>
    <d v="2024-01-23T00:00:00"/>
    <s v="C087"/>
    <s v="Customer_87"/>
    <s v="Kolkata"/>
    <s v="West Bengal"/>
    <x v="3"/>
    <s v="P108"/>
    <x v="7"/>
    <x v="3"/>
    <n v="6"/>
    <n v="300"/>
    <n v="0.02"/>
    <n v="139"/>
    <x v="2"/>
    <x v="1"/>
    <n v="1800"/>
    <n v="36"/>
    <n v="1764"/>
    <x v="1"/>
  </r>
  <r>
    <n v="1088"/>
    <d v="2024-02-22T00:00:00"/>
    <d v="2024-02-23T00:00:00"/>
    <s v="C088"/>
    <s v="Customer_88"/>
    <s v="Indore"/>
    <s v="Madhya Pradesh"/>
    <x v="2"/>
    <s v="P108"/>
    <x v="7"/>
    <x v="3"/>
    <n v="2"/>
    <n v="55000"/>
    <n v="0.02"/>
    <n v="87"/>
    <x v="1"/>
    <x v="0"/>
    <n v="110000"/>
    <n v="2200"/>
    <n v="107800"/>
    <x v="0"/>
  </r>
  <r>
    <n v="1089"/>
    <d v="2024-03-01T00:00:00"/>
    <d v="2024-03-04T00:00:00"/>
    <s v="C089"/>
    <s v="Customer_89"/>
    <s v="Mumbai"/>
    <s v="Maharashtra"/>
    <x v="1"/>
    <s v="P104"/>
    <x v="5"/>
    <x v="0"/>
    <n v="2"/>
    <n v="12000"/>
    <n v="0.15"/>
    <n v="320"/>
    <x v="1"/>
    <x v="0"/>
    <n v="24000"/>
    <n v="3600"/>
    <n v="20400"/>
    <x v="2"/>
  </r>
  <r>
    <n v="1090"/>
    <d v="2024-01-25T00:00:00"/>
    <d v="2024-01-29T00:00:00"/>
    <s v="C090"/>
    <s v="Customer_90"/>
    <s v="Kolkata"/>
    <s v="West Bengal"/>
    <x v="3"/>
    <s v="P105"/>
    <x v="0"/>
    <x v="0"/>
    <n v="10"/>
    <n v="3000"/>
    <n v="0.1"/>
    <n v="301"/>
    <x v="0"/>
    <x v="0"/>
    <n v="30000"/>
    <n v="3000"/>
    <n v="27000"/>
    <x v="1"/>
  </r>
  <r>
    <n v="1091"/>
    <d v="2024-02-17T00:00:00"/>
    <d v="2024-02-18T00:00:00"/>
    <s v="C091"/>
    <s v="Customer_91"/>
    <s v="Jaipur"/>
    <s v="Rajasthan"/>
    <x v="1"/>
    <s v="P104"/>
    <x v="5"/>
    <x v="0"/>
    <n v="5"/>
    <n v="200"/>
    <n v="0.05"/>
    <n v="132"/>
    <x v="1"/>
    <x v="0"/>
    <n v="1000"/>
    <n v="50"/>
    <n v="950"/>
    <x v="0"/>
  </r>
  <r>
    <n v="1092"/>
    <d v="2024-01-05T00:00:00"/>
    <d v="2024-01-07T00:00:00"/>
    <s v="C092"/>
    <s v="Customer_92"/>
    <s v="Delhi"/>
    <s v="Delhi"/>
    <x v="0"/>
    <s v="P107"/>
    <x v="3"/>
    <x v="2"/>
    <n v="8"/>
    <n v="55000"/>
    <n v="0.15"/>
    <n v="159"/>
    <x v="0"/>
    <x v="1"/>
    <n v="440000"/>
    <n v="66000"/>
    <n v="374000"/>
    <x v="1"/>
  </r>
  <r>
    <n v="1093"/>
    <d v="2024-01-19T00:00:00"/>
    <d v="2024-01-22T00:00:00"/>
    <s v="C093"/>
    <s v="Customer_93"/>
    <s v="Kolkata"/>
    <s v="West Bengal"/>
    <x v="3"/>
    <s v="P102"/>
    <x v="8"/>
    <x v="3"/>
    <n v="4"/>
    <n v="800"/>
    <n v="0.2"/>
    <n v="348"/>
    <x v="1"/>
    <x v="2"/>
    <n v="3200"/>
    <n v="640"/>
    <n v="2560"/>
    <x v="1"/>
  </r>
  <r>
    <n v="1094"/>
    <d v="2024-01-08T00:00:00"/>
    <d v="2024-01-13T00:00:00"/>
    <s v="C094"/>
    <s v="Customer_94"/>
    <s v="Jaipur"/>
    <s v="Rajasthan"/>
    <x v="1"/>
    <s v="P103"/>
    <x v="6"/>
    <x v="1"/>
    <n v="5"/>
    <n v="300"/>
    <n v="0.02"/>
    <n v="40"/>
    <x v="1"/>
    <x v="2"/>
    <n v="1500"/>
    <n v="30"/>
    <n v="1470"/>
    <x v="1"/>
  </r>
  <r>
    <n v="1095"/>
    <d v="2024-02-08T00:00:00"/>
    <d v="2024-02-13T00:00:00"/>
    <s v="C095"/>
    <s v="Customer_95"/>
    <s v="Ahmedabad"/>
    <s v="Gujarat"/>
    <x v="1"/>
    <s v="P108"/>
    <x v="7"/>
    <x v="3"/>
    <n v="2"/>
    <n v="7000"/>
    <n v="0.1"/>
    <n v="368"/>
    <x v="2"/>
    <x v="2"/>
    <n v="14000"/>
    <n v="1400"/>
    <n v="12600"/>
    <x v="0"/>
  </r>
  <r>
    <n v="1096"/>
    <d v="2024-02-02T00:00:00"/>
    <d v="2024-02-07T00:00:00"/>
    <s v="C096"/>
    <s v="Customer_96"/>
    <s v="Kolkata"/>
    <s v="West Bengal"/>
    <x v="3"/>
    <s v="P108"/>
    <x v="7"/>
    <x v="3"/>
    <n v="2"/>
    <n v="55000"/>
    <n v="0.02"/>
    <n v="465"/>
    <x v="2"/>
    <x v="0"/>
    <n v="110000"/>
    <n v="2200"/>
    <n v="107800"/>
    <x v="0"/>
  </r>
  <r>
    <n v="1097"/>
    <d v="2024-01-21T00:00:00"/>
    <d v="2024-01-26T00:00:00"/>
    <s v="C097"/>
    <s v="Customer_97"/>
    <s v="Ahmedabad"/>
    <s v="Gujarat"/>
    <x v="1"/>
    <s v="P101"/>
    <x v="9"/>
    <x v="0"/>
    <n v="2"/>
    <n v="500"/>
    <n v="0.2"/>
    <n v="310"/>
    <x v="0"/>
    <x v="0"/>
    <n v="1000"/>
    <n v="200"/>
    <n v="800"/>
    <x v="1"/>
  </r>
  <r>
    <n v="1098"/>
    <d v="2024-02-22T00:00:00"/>
    <d v="2024-02-25T00:00:00"/>
    <s v="C098"/>
    <s v="Customer_98"/>
    <s v="Bhopal"/>
    <s v="Madhya Pradesh"/>
    <x v="2"/>
    <s v="P101"/>
    <x v="9"/>
    <x v="0"/>
    <n v="3"/>
    <n v="7000"/>
    <n v="0.2"/>
    <n v="343"/>
    <x v="2"/>
    <x v="2"/>
    <n v="21000"/>
    <n v="4200"/>
    <n v="16800"/>
    <x v="0"/>
  </r>
  <r>
    <n v="1099"/>
    <d v="2024-01-12T00:00:00"/>
    <d v="2024-01-17T00:00:00"/>
    <s v="C099"/>
    <s v="Customer_99"/>
    <s v="Indore"/>
    <s v="Madhya Pradesh"/>
    <x v="2"/>
    <s v="P108"/>
    <x v="7"/>
    <x v="3"/>
    <n v="2"/>
    <n v="7000"/>
    <n v="0.1"/>
    <n v="219"/>
    <x v="3"/>
    <x v="2"/>
    <n v="14000"/>
    <n v="1400"/>
    <n v="12600"/>
    <x v="1"/>
  </r>
  <r>
    <n v="1100"/>
    <d v="2024-02-12T00:00:00"/>
    <d v="2024-02-13T00:00:00"/>
    <s v="C100"/>
    <s v="Customer_100"/>
    <s v="Kanpur"/>
    <s v="Uttar Pradesh"/>
    <x v="0"/>
    <s v="P106"/>
    <x v="4"/>
    <x v="3"/>
    <n v="7"/>
    <n v="7000"/>
    <n v="0.1"/>
    <n v="349"/>
    <x v="2"/>
    <x v="0"/>
    <n v="49000"/>
    <n v="4900"/>
    <n v="4410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787E9B-CE6C-4CB3-B883-E8BEF4426DC8}"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G22:H27" firstHeaderRow="1" firstDataRow="1" firstDataCol="1"/>
  <pivotFields count="21">
    <pivotField showAll="0"/>
    <pivotField numFmtId="14" showAll="0"/>
    <pivotField numFmtId="14" showAll="0"/>
    <pivotField showAll="0"/>
    <pivotField showAll="0"/>
    <pivotField showAll="0"/>
    <pivotField showAll="0"/>
    <pivotField showAll="0">
      <items count="5">
        <item x="2"/>
        <item x="3"/>
        <item x="0"/>
        <item x="1"/>
        <item t="default"/>
      </items>
    </pivotField>
    <pivotField showAll="0"/>
    <pivotField showAll="0" measureFilter="1">
      <items count="11">
        <item x="3"/>
        <item x="8"/>
        <item x="0"/>
        <item x="1"/>
        <item x="5"/>
        <item x="9"/>
        <item x="6"/>
        <item x="2"/>
        <item x="4"/>
        <item x="7"/>
        <item t="default"/>
      </items>
    </pivotField>
    <pivotField showAll="0">
      <items count="5">
        <item x="0"/>
        <item x="3"/>
        <item x="2"/>
        <item x="1"/>
        <item t="default"/>
      </items>
    </pivotField>
    <pivotField showAll="0"/>
    <pivotField showAll="0"/>
    <pivotField showAll="0"/>
    <pivotField showAll="0"/>
    <pivotField axis="axisRow" showAll="0">
      <items count="5">
        <item x="1"/>
        <item x="3"/>
        <item x="2"/>
        <item x="0"/>
        <item t="default"/>
      </items>
    </pivotField>
    <pivotField showAll="0">
      <items count="4">
        <item x="2"/>
        <item x="1"/>
        <item x="0"/>
        <item t="default"/>
      </items>
    </pivotField>
    <pivotField showAll="0"/>
    <pivotField showAll="0"/>
    <pivotField dataField="1" showAll="0"/>
    <pivotField showAll="0">
      <items count="4">
        <item x="1"/>
        <item x="0"/>
        <item x="2"/>
        <item t="default"/>
      </items>
    </pivotField>
  </pivotFields>
  <rowFields count="1">
    <field x="15"/>
  </rowFields>
  <rowItems count="5">
    <i>
      <x/>
    </i>
    <i>
      <x v="1"/>
    </i>
    <i>
      <x v="2"/>
    </i>
    <i>
      <x v="3"/>
    </i>
    <i t="grand">
      <x/>
    </i>
  </rowItems>
  <colItems count="1">
    <i/>
  </colItems>
  <dataFields count="1">
    <dataField name="Sum of Net Sales" fld="19" baseField="10" baseItem="0" numFmtId="164"/>
  </dataFields>
  <formats count="6">
    <format dxfId="326">
      <pivotArea type="all" dataOnly="0" outline="0" fieldPosition="0"/>
    </format>
    <format dxfId="327">
      <pivotArea outline="0" collapsedLevelsAreSubtotals="1" fieldPosition="0"/>
    </format>
    <format dxfId="328">
      <pivotArea field="10" type="button" dataOnly="0" labelOnly="1" outline="0"/>
    </format>
    <format dxfId="329">
      <pivotArea dataOnly="0" labelOnly="1" grandRow="1" outline="0" fieldPosition="0"/>
    </format>
    <format dxfId="330">
      <pivotArea dataOnly="0" labelOnly="1" outline="0" axis="axisValues" fieldPosition="0"/>
    </format>
    <format dxfId="331">
      <pivotArea outline="0" fieldPosition="0">
        <references count="1">
          <reference field="4294967294" count="1">
            <x v="0"/>
          </reference>
        </references>
      </pivotArea>
    </format>
  </formats>
  <chartFormats count="1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5" format="9" series="1">
      <pivotArea type="data" outline="0" fieldPosition="0">
        <references count="1">
          <reference field="4294967294" count="1" selected="0">
            <x v="0"/>
          </reference>
        </references>
      </pivotArea>
    </chartFormat>
    <chartFormat chart="25" format="10">
      <pivotArea type="data" outline="0" fieldPosition="0">
        <references count="2">
          <reference field="4294967294" count="1" selected="0">
            <x v="0"/>
          </reference>
          <reference field="15" count="1" selected="0">
            <x v="0"/>
          </reference>
        </references>
      </pivotArea>
    </chartFormat>
    <chartFormat chart="25" format="11">
      <pivotArea type="data" outline="0" fieldPosition="0">
        <references count="2">
          <reference field="4294967294" count="1" selected="0">
            <x v="0"/>
          </reference>
          <reference field="15" count="1" selected="0">
            <x v="1"/>
          </reference>
        </references>
      </pivotArea>
    </chartFormat>
    <chartFormat chart="25" format="12">
      <pivotArea type="data" outline="0" fieldPosition="0">
        <references count="2">
          <reference field="4294967294" count="1" selected="0">
            <x v="0"/>
          </reference>
          <reference field="15" count="1" selected="0">
            <x v="2"/>
          </reference>
        </references>
      </pivotArea>
    </chartFormat>
    <chartFormat chart="25" format="13">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61D0EF-026C-4B8F-A75D-FD3526D1267B}"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N18:N19" firstHeaderRow="1" firstDataRow="1" firstDataCol="0"/>
  <pivotFields count="21">
    <pivotField showAll="0"/>
    <pivotField numFmtId="14" showAll="0"/>
    <pivotField numFmtId="14" showAll="0"/>
    <pivotField showAll="0"/>
    <pivotField showAll="0"/>
    <pivotField showAll="0"/>
    <pivotField showAll="0"/>
    <pivotField showAll="0">
      <items count="5">
        <item x="2"/>
        <item x="3"/>
        <item x="0"/>
        <item x="1"/>
        <item t="default"/>
      </items>
    </pivotField>
    <pivotField showAll="0"/>
    <pivotField showAll="0"/>
    <pivotField showAll="0">
      <items count="5">
        <item x="0"/>
        <item x="3"/>
        <item x="2"/>
        <item x="1"/>
        <item t="default"/>
      </items>
    </pivotField>
    <pivotField showAll="0"/>
    <pivotField showAll="0"/>
    <pivotField showAll="0"/>
    <pivotField showAll="0"/>
    <pivotField showAll="0"/>
    <pivotField showAll="0">
      <items count="4">
        <item x="2"/>
        <item x="1"/>
        <item x="0"/>
        <item t="default"/>
      </items>
    </pivotField>
    <pivotField dataField="1" showAll="0"/>
    <pivotField showAll="0"/>
    <pivotField showAll="0"/>
    <pivotField showAll="0">
      <items count="4">
        <item x="1"/>
        <item x="0"/>
        <item x="2"/>
        <item t="default"/>
      </items>
    </pivotField>
  </pivotFields>
  <rowItems count="1">
    <i/>
  </rowItems>
  <colItems count="1">
    <i/>
  </colItems>
  <dataFields count="1">
    <dataField name="Average of Total Sales" fld="17" subtotal="average" baseField="0" baseItem="0"/>
  </dataFields>
  <formats count="5">
    <format dxfId="332">
      <pivotArea type="all" dataOnly="0" outline="0" fieldPosition="0"/>
    </format>
    <format dxfId="333">
      <pivotArea outline="0" collapsedLevelsAreSubtotals="1" fieldPosition="0"/>
    </format>
    <format dxfId="334">
      <pivotArea field="10" type="button" dataOnly="0" labelOnly="1" outline="0"/>
    </format>
    <format dxfId="335">
      <pivotArea dataOnly="0" labelOnly="1" grandRow="1" outline="0" fieldPosition="0"/>
    </format>
    <format dxfId="33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C3FB2B-B0B3-484C-9F7D-AE05AA85DF5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D11:E22" firstHeaderRow="1" firstDataRow="1" firstDataCol="1"/>
  <pivotFields count="21">
    <pivotField showAll="0"/>
    <pivotField numFmtId="14" showAll="0"/>
    <pivotField numFmtId="14" showAll="0"/>
    <pivotField showAll="0"/>
    <pivotField showAll="0"/>
    <pivotField showAll="0"/>
    <pivotField showAll="0"/>
    <pivotField showAll="0">
      <items count="5">
        <item x="2"/>
        <item x="3"/>
        <item x="0"/>
        <item x="1"/>
        <item t="default"/>
      </items>
    </pivotField>
    <pivotField showAll="0"/>
    <pivotField axis="axisRow" showAll="0">
      <items count="11">
        <item x="3"/>
        <item x="8"/>
        <item x="0"/>
        <item x="1"/>
        <item x="5"/>
        <item x="9"/>
        <item x="6"/>
        <item x="2"/>
        <item x="4"/>
        <item x="7"/>
        <item t="default"/>
      </items>
    </pivotField>
    <pivotField showAll="0">
      <items count="5">
        <item x="0"/>
        <item x="3"/>
        <item x="2"/>
        <item x="1"/>
        <item t="default"/>
      </items>
    </pivotField>
    <pivotField showAll="0"/>
    <pivotField showAll="0"/>
    <pivotField showAll="0"/>
    <pivotField showAll="0"/>
    <pivotField showAll="0"/>
    <pivotField showAll="0">
      <items count="4">
        <item x="2"/>
        <item x="1"/>
        <item x="0"/>
        <item t="default"/>
      </items>
    </pivotField>
    <pivotField showAll="0"/>
    <pivotField showAll="0"/>
    <pivotField dataField="1" showAll="0"/>
    <pivotField showAll="0">
      <items count="4">
        <item x="1"/>
        <item x="0"/>
        <item x="2"/>
        <item t="default"/>
      </items>
    </pivotField>
  </pivotFields>
  <rowFields count="1">
    <field x="9"/>
  </rowFields>
  <rowItems count="11">
    <i>
      <x/>
    </i>
    <i>
      <x v="1"/>
    </i>
    <i>
      <x v="2"/>
    </i>
    <i>
      <x v="3"/>
    </i>
    <i>
      <x v="4"/>
    </i>
    <i>
      <x v="5"/>
    </i>
    <i>
      <x v="6"/>
    </i>
    <i>
      <x v="7"/>
    </i>
    <i>
      <x v="8"/>
    </i>
    <i>
      <x v="9"/>
    </i>
    <i t="grand">
      <x/>
    </i>
  </rowItems>
  <colItems count="1">
    <i/>
  </colItems>
  <dataFields count="1">
    <dataField name="Sum of Net Sales" fld="19" baseField="10" baseItem="0" numFmtId="164"/>
  </dataFields>
  <formats count="6">
    <format dxfId="365">
      <pivotArea type="all" dataOnly="0" outline="0" fieldPosition="0"/>
    </format>
    <format dxfId="366">
      <pivotArea outline="0" collapsedLevelsAreSubtotals="1" fieldPosition="0"/>
    </format>
    <format dxfId="367">
      <pivotArea field="10" type="button" dataOnly="0" labelOnly="1" outline="0"/>
    </format>
    <format dxfId="368">
      <pivotArea dataOnly="0" labelOnly="1" grandRow="1" outline="0" fieldPosition="0"/>
    </format>
    <format dxfId="369">
      <pivotArea dataOnly="0" labelOnly="1" outline="0" axis="axisValues" fieldPosition="0"/>
    </format>
    <format dxfId="370">
      <pivotArea outline="0" fieldPosition="0">
        <references count="1">
          <reference field="4294967294" count="1">
            <x v="0"/>
          </reference>
        </references>
      </pivotArea>
    </format>
  </formats>
  <chartFormats count="11">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9" count="1" selected="0">
            <x v="0"/>
          </reference>
        </references>
      </pivotArea>
    </chartFormat>
    <chartFormat chart="3" format="4">
      <pivotArea type="data" outline="0" fieldPosition="0">
        <references count="2">
          <reference field="4294967294" count="1" selected="0">
            <x v="0"/>
          </reference>
          <reference field="9" count="1" selected="0">
            <x v="1"/>
          </reference>
        </references>
      </pivotArea>
    </chartFormat>
    <chartFormat chart="3" format="5">
      <pivotArea type="data" outline="0" fieldPosition="0">
        <references count="2">
          <reference field="4294967294" count="1" selected="0">
            <x v="0"/>
          </reference>
          <reference field="9" count="1" selected="0">
            <x v="2"/>
          </reference>
        </references>
      </pivotArea>
    </chartFormat>
    <chartFormat chart="3" format="6">
      <pivotArea type="data" outline="0" fieldPosition="0">
        <references count="2">
          <reference field="4294967294" count="1" selected="0">
            <x v="0"/>
          </reference>
          <reference field="9" count="1" selected="0">
            <x v="3"/>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9" count="1" selected="0">
            <x v="7"/>
          </reference>
        </references>
      </pivotArea>
    </chartFormat>
    <chartFormat chart="16" format="3">
      <pivotArea type="data" outline="0" fieldPosition="0">
        <references count="2">
          <reference field="4294967294" count="1" selected="0">
            <x v="0"/>
          </reference>
          <reference field="9" count="1" selected="0">
            <x v="1"/>
          </reference>
        </references>
      </pivotArea>
    </chartFormat>
    <chartFormat chart="16" format="4">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F53F98-F101-428F-BECF-98C672A9F0D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M7:M8" firstHeaderRow="1" firstDataRow="1" firstDataCol="0"/>
  <pivotFields count="21">
    <pivotField showAll="0"/>
    <pivotField numFmtId="14" showAll="0"/>
    <pivotField numFmtId="14" showAll="0"/>
    <pivotField showAll="0"/>
    <pivotField showAll="0"/>
    <pivotField showAll="0"/>
    <pivotField showAll="0"/>
    <pivotField showAll="0">
      <items count="5">
        <item x="2"/>
        <item x="3"/>
        <item x="0"/>
        <item x="1"/>
        <item t="default"/>
      </items>
    </pivotField>
    <pivotField showAll="0"/>
    <pivotField showAll="0"/>
    <pivotField showAll="0">
      <items count="5">
        <item x="0"/>
        <item x="3"/>
        <item x="2"/>
        <item x="1"/>
        <item t="default"/>
      </items>
    </pivotField>
    <pivotField showAll="0"/>
    <pivotField showAll="0"/>
    <pivotField showAll="0"/>
    <pivotField showAll="0"/>
    <pivotField showAll="0"/>
    <pivotField showAll="0">
      <items count="4">
        <item x="2"/>
        <item h="1" x="1"/>
        <item h="1" x="0"/>
        <item t="default"/>
      </items>
    </pivotField>
    <pivotField showAll="0"/>
    <pivotField showAll="0"/>
    <pivotField dataField="1" showAll="0"/>
    <pivotField showAll="0">
      <items count="4">
        <item x="1"/>
        <item x="0"/>
        <item x="2"/>
        <item t="default"/>
      </items>
    </pivotField>
  </pivotFields>
  <rowItems count="1">
    <i/>
  </rowItems>
  <colItems count="1">
    <i/>
  </colItems>
  <dataFields count="1">
    <dataField name="Sum of Net Sales" fld="19" baseField="10" baseItem="0" numFmtId="164"/>
  </dataFields>
  <formats count="6">
    <format dxfId="347">
      <pivotArea type="all" dataOnly="0" outline="0" fieldPosition="0"/>
    </format>
    <format dxfId="348">
      <pivotArea outline="0" collapsedLevelsAreSubtotals="1" fieldPosition="0"/>
    </format>
    <format dxfId="349">
      <pivotArea field="10" type="button" dataOnly="0" labelOnly="1" outline="0"/>
    </format>
    <format dxfId="350">
      <pivotArea dataOnly="0" labelOnly="1" grandRow="1" outline="0" fieldPosition="0"/>
    </format>
    <format dxfId="351">
      <pivotArea dataOnly="0" labelOnly="1" outline="0" axis="axisValues" fieldPosition="0"/>
    </format>
    <format dxfId="352">
      <pivotArea outline="0" fieldPosition="0">
        <references count="1">
          <reference field="4294967294" count="1">
            <x v="0"/>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ED4D180-FD32-48C4-809B-275D7085560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J3:J4" firstHeaderRow="1" firstDataRow="1" firstDataCol="0"/>
  <pivotFields count="21">
    <pivotField showAll="0"/>
    <pivotField numFmtId="14" showAll="0"/>
    <pivotField numFmtId="14" showAll="0"/>
    <pivotField showAll="0"/>
    <pivotField showAll="0"/>
    <pivotField showAll="0"/>
    <pivotField showAll="0"/>
    <pivotField showAll="0">
      <items count="5">
        <item x="2"/>
        <item x="3"/>
        <item x="0"/>
        <item x="1"/>
        <item t="default"/>
      </items>
    </pivotField>
    <pivotField showAll="0"/>
    <pivotField showAll="0"/>
    <pivotField showAll="0">
      <items count="5">
        <item x="0"/>
        <item x="3"/>
        <item x="2"/>
        <item x="1"/>
        <item t="default"/>
      </items>
    </pivotField>
    <pivotField showAll="0"/>
    <pivotField showAll="0"/>
    <pivotField showAll="0"/>
    <pivotField showAll="0"/>
    <pivotField showAll="0">
      <items count="5">
        <item x="1"/>
        <item x="3"/>
        <item x="2"/>
        <item x="0"/>
        <item t="default"/>
      </items>
    </pivotField>
    <pivotField showAll="0">
      <items count="4">
        <item x="2"/>
        <item x="1"/>
        <item x="0"/>
        <item t="default"/>
      </items>
    </pivotField>
    <pivotField showAll="0"/>
    <pivotField showAll="0"/>
    <pivotField dataField="1" showAll="0"/>
    <pivotField showAll="0">
      <items count="4">
        <item x="1"/>
        <item x="0"/>
        <item x="2"/>
        <item t="default"/>
      </items>
    </pivotField>
  </pivotFields>
  <rowItems count="1">
    <i/>
  </rowItems>
  <colItems count="1">
    <i/>
  </colItems>
  <dataFields count="1">
    <dataField name="Sum of Net Sales" fld="19" baseField="10" baseItem="0" numFmtId="164"/>
  </dataFields>
  <formats count="6">
    <format dxfId="377">
      <pivotArea type="all" dataOnly="0" outline="0" fieldPosition="0"/>
    </format>
    <format dxfId="378">
      <pivotArea outline="0" collapsedLevelsAreSubtotals="1" fieldPosition="0"/>
    </format>
    <format dxfId="379">
      <pivotArea field="10" type="button" dataOnly="0" labelOnly="1" outline="0"/>
    </format>
    <format dxfId="380">
      <pivotArea dataOnly="0" labelOnly="1" grandRow="1" outline="0" fieldPosition="0"/>
    </format>
    <format dxfId="381">
      <pivotArea dataOnly="0" labelOnly="1" outline="0" axis="axisValues" fieldPosition="0"/>
    </format>
    <format dxfId="382">
      <pivotArea outline="0" fieldPosition="0">
        <references count="1">
          <reference field="4294967294" count="1">
            <x v="0"/>
          </reference>
        </references>
      </pivotArea>
    </format>
  </formats>
  <chartFormats count="1">
    <chartFormat chart="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5E70C1E-EE88-448E-8E92-5E72E542D07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12:H16" firstHeaderRow="1" firstDataRow="1" firstDataCol="1"/>
  <pivotFields count="21">
    <pivotField showAll="0"/>
    <pivotField numFmtId="14" showAll="0"/>
    <pivotField numFmtId="14" showAll="0"/>
    <pivotField showAll="0"/>
    <pivotField showAll="0"/>
    <pivotField showAll="0"/>
    <pivotField showAll="0"/>
    <pivotField showAll="0">
      <items count="5">
        <item x="2"/>
        <item x="3"/>
        <item x="0"/>
        <item x="1"/>
        <item t="default"/>
      </items>
    </pivotField>
    <pivotField showAll="0"/>
    <pivotField showAll="0"/>
    <pivotField showAll="0">
      <items count="5">
        <item x="0"/>
        <item x="3"/>
        <item x="2"/>
        <item x="1"/>
        <item t="default"/>
      </items>
    </pivotField>
    <pivotField showAll="0"/>
    <pivotField showAll="0"/>
    <pivotField showAll="0"/>
    <pivotField showAll="0"/>
    <pivotField showAll="0"/>
    <pivotField axis="axisRow" showAll="0">
      <items count="4">
        <item x="2"/>
        <item x="1"/>
        <item x="0"/>
        <item t="default"/>
      </items>
    </pivotField>
    <pivotField showAll="0"/>
    <pivotField showAll="0"/>
    <pivotField dataField="1" showAll="0"/>
    <pivotField showAll="0">
      <items count="4">
        <item x="1"/>
        <item x="0"/>
        <item x="2"/>
        <item t="default"/>
      </items>
    </pivotField>
  </pivotFields>
  <rowFields count="1">
    <field x="16"/>
  </rowFields>
  <rowItems count="4">
    <i>
      <x/>
    </i>
    <i>
      <x v="1"/>
    </i>
    <i>
      <x v="2"/>
    </i>
    <i t="grand">
      <x/>
    </i>
  </rowItems>
  <colItems count="1">
    <i/>
  </colItems>
  <dataFields count="1">
    <dataField name="Sum of Net Sales" fld="19" baseField="10" baseItem="0" numFmtId="164"/>
  </dataFields>
  <formats count="6">
    <format dxfId="359">
      <pivotArea type="all" dataOnly="0" outline="0" fieldPosition="0"/>
    </format>
    <format dxfId="360">
      <pivotArea outline="0" collapsedLevelsAreSubtotals="1" fieldPosition="0"/>
    </format>
    <format dxfId="361">
      <pivotArea field="10" type="button" dataOnly="0" labelOnly="1" outline="0"/>
    </format>
    <format dxfId="362">
      <pivotArea dataOnly="0" labelOnly="1" grandRow="1" outline="0" fieldPosition="0"/>
    </format>
    <format dxfId="363">
      <pivotArea dataOnly="0" labelOnly="1" outline="0" axis="axisValues" fieldPosition="0"/>
    </format>
    <format dxfId="364">
      <pivotArea outline="0" fieldPosition="0">
        <references count="1">
          <reference field="4294967294" count="1">
            <x v="0"/>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FD4FC3F-3FA2-4E95-B98F-7F370ADCCF8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8" firstHeaderRow="1" firstDataRow="1" firstDataCol="1"/>
  <pivotFields count="21">
    <pivotField showAll="0"/>
    <pivotField numFmtId="14" showAll="0"/>
    <pivotField numFmtId="14" showAll="0"/>
    <pivotField showAll="0"/>
    <pivotField showAll="0"/>
    <pivotField showAll="0"/>
    <pivotField showAll="0"/>
    <pivotField showAll="0">
      <items count="5">
        <item x="2"/>
        <item x="3"/>
        <item x="0"/>
        <item x="1"/>
        <item t="default"/>
      </items>
    </pivotField>
    <pivotField showAll="0"/>
    <pivotField showAll="0"/>
    <pivotField axis="axisRow" showAll="0">
      <items count="5">
        <item x="0"/>
        <item x="3"/>
        <item x="2"/>
        <item x="1"/>
        <item t="default"/>
      </items>
    </pivotField>
    <pivotField showAll="0"/>
    <pivotField showAll="0"/>
    <pivotField showAll="0"/>
    <pivotField showAll="0"/>
    <pivotField showAll="0"/>
    <pivotField showAll="0">
      <items count="4">
        <item x="2"/>
        <item x="1"/>
        <item x="0"/>
        <item t="default"/>
      </items>
    </pivotField>
    <pivotField showAll="0"/>
    <pivotField showAll="0"/>
    <pivotField dataField="1" showAll="0"/>
    <pivotField showAll="0">
      <items count="4">
        <item x="1"/>
        <item x="0"/>
        <item x="2"/>
        <item t="default"/>
      </items>
    </pivotField>
  </pivotFields>
  <rowFields count="1">
    <field x="10"/>
  </rowFields>
  <rowItems count="5">
    <i>
      <x/>
    </i>
    <i>
      <x v="1"/>
    </i>
    <i>
      <x v="2"/>
    </i>
    <i>
      <x v="3"/>
    </i>
    <i t="grand">
      <x/>
    </i>
  </rowItems>
  <colItems count="1">
    <i/>
  </colItems>
  <dataFields count="1">
    <dataField name="Sum of Net Sales" fld="19" baseField="10" baseItem="0" numFmtId="164"/>
  </dataFields>
  <formats count="6">
    <format dxfId="390">
      <pivotArea type="all" dataOnly="0" outline="0" fieldPosition="0"/>
    </format>
    <format dxfId="391">
      <pivotArea outline="0" collapsedLevelsAreSubtotals="1" fieldPosition="0"/>
    </format>
    <format dxfId="392">
      <pivotArea field="10" type="button" dataOnly="0" labelOnly="1" outline="0" axis="axisRow" fieldPosition="0"/>
    </format>
    <format dxfId="393">
      <pivotArea dataOnly="0" labelOnly="1" grandRow="1" outline="0" fieldPosition="0"/>
    </format>
    <format dxfId="394">
      <pivotArea dataOnly="0" labelOnly="1" outline="0" axis="axisValues" fieldPosition="0"/>
    </format>
    <format dxfId="395">
      <pivotArea outline="0" fieldPosition="0">
        <references count="1">
          <reference field="4294967294" count="1">
            <x v="0"/>
          </reference>
        </references>
      </pivotArea>
    </format>
  </format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0" count="1" selected="0">
            <x v="2"/>
          </reference>
        </references>
      </pivotArea>
    </chartFormat>
    <chartFormat chart="2" format="4">
      <pivotArea type="data" outline="0" fieldPosition="0">
        <references count="2">
          <reference field="4294967294" count="1" selected="0">
            <x v="0"/>
          </reference>
          <reference field="10" count="1" selected="0">
            <x v="3"/>
          </reference>
        </references>
      </pivotArea>
    </chartFormat>
    <chartFormat chart="2" format="5">
      <pivotArea type="data" outline="0" fieldPosition="0">
        <references count="2">
          <reference field="4294967294" count="1" selected="0">
            <x v="0"/>
          </reference>
          <reference field="10" count="1" selected="0">
            <x v="1"/>
          </reference>
        </references>
      </pivotArea>
    </chartFormat>
    <chartFormat chart="2" format="6">
      <pivotArea type="data" outline="0" fieldPosition="0">
        <references count="2">
          <reference field="4294967294" count="1" selected="0">
            <x v="0"/>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A73A0BE-3A28-416E-9DD8-FE467E22E4D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3:E7" firstHeaderRow="1" firstDataRow="1" firstDataCol="1"/>
  <pivotFields count="21">
    <pivotField showAll="0"/>
    <pivotField numFmtId="14" showAll="0"/>
    <pivotField numFmtId="14" showAll="0"/>
    <pivotField showAll="0"/>
    <pivotField showAll="0"/>
    <pivotField showAll="0"/>
    <pivotField showAll="0"/>
    <pivotField showAll="0">
      <items count="5">
        <item x="2"/>
        <item x="3"/>
        <item x="0"/>
        <item x="1"/>
        <item t="default"/>
      </items>
    </pivotField>
    <pivotField showAll="0"/>
    <pivotField showAll="0"/>
    <pivotField showAll="0">
      <items count="5">
        <item x="0"/>
        <item x="3"/>
        <item x="2"/>
        <item x="1"/>
        <item t="default"/>
      </items>
    </pivotField>
    <pivotField showAll="0"/>
    <pivotField showAll="0"/>
    <pivotField showAll="0"/>
    <pivotField showAll="0"/>
    <pivotField showAll="0"/>
    <pivotField showAll="0">
      <items count="4">
        <item x="2"/>
        <item x="1"/>
        <item x="0"/>
        <item t="default"/>
      </items>
    </pivotField>
    <pivotField showAll="0"/>
    <pivotField showAll="0"/>
    <pivotField dataField="1" showAll="0"/>
    <pivotField axis="axisRow" showAll="0">
      <items count="4">
        <item x="1"/>
        <item x="0"/>
        <item x="2"/>
        <item t="default"/>
      </items>
    </pivotField>
  </pivotFields>
  <rowFields count="1">
    <field x="20"/>
  </rowFields>
  <rowItems count="4">
    <i>
      <x/>
    </i>
    <i>
      <x v="1"/>
    </i>
    <i>
      <x v="2"/>
    </i>
    <i t="grand">
      <x/>
    </i>
  </rowItems>
  <colItems count="1">
    <i/>
  </colItems>
  <dataFields count="1">
    <dataField name="Sum of Net Sales" fld="19" baseField="20" baseItem="0" numFmtId="164"/>
  </dataFields>
  <formats count="7">
    <format dxfId="383">
      <pivotArea type="all" dataOnly="0" outline="0" fieldPosition="0"/>
    </format>
    <format dxfId="384">
      <pivotArea outline="0" collapsedLevelsAreSubtotals="1" fieldPosition="0"/>
    </format>
    <format dxfId="385">
      <pivotArea field="20" type="button" dataOnly="0" labelOnly="1" outline="0" axis="axisRow" fieldPosition="0"/>
    </format>
    <format dxfId="386">
      <pivotArea dataOnly="0" labelOnly="1" fieldPosition="0">
        <references count="1">
          <reference field="20" count="0"/>
        </references>
      </pivotArea>
    </format>
    <format dxfId="387">
      <pivotArea dataOnly="0" labelOnly="1" grandRow="1" outline="0" fieldPosition="0"/>
    </format>
    <format dxfId="388">
      <pivotArea dataOnly="0" labelOnly="1" outline="0" axis="axisValues" fieldPosition="0"/>
    </format>
    <format dxfId="389">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598C25C-F54E-4B95-B0D8-4F22898C9978}"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N15:N16" firstHeaderRow="1" firstDataRow="1" firstDataCol="0"/>
  <pivotFields count="21">
    <pivotField dataField="1" showAll="0"/>
    <pivotField numFmtId="14" showAll="0"/>
    <pivotField numFmtId="14" showAll="0"/>
    <pivotField showAll="0"/>
    <pivotField showAll="0"/>
    <pivotField showAll="0"/>
    <pivotField showAll="0"/>
    <pivotField showAll="0">
      <items count="5">
        <item x="2"/>
        <item x="3"/>
        <item x="0"/>
        <item x="1"/>
        <item t="default"/>
      </items>
    </pivotField>
    <pivotField showAll="0"/>
    <pivotField showAll="0"/>
    <pivotField showAll="0">
      <items count="5">
        <item x="0"/>
        <item x="3"/>
        <item x="2"/>
        <item x="1"/>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showAll="0">
      <items count="4">
        <item x="1"/>
        <item x="0"/>
        <item x="2"/>
        <item t="default"/>
      </items>
    </pivotField>
  </pivotFields>
  <rowItems count="1">
    <i/>
  </rowItems>
  <colItems count="1">
    <i/>
  </colItems>
  <dataFields count="1">
    <dataField name="Count of OrderID" fld="0" subtotal="count" baseField="0" baseItem="0"/>
  </dataFields>
  <formats count="5">
    <format dxfId="337">
      <pivotArea type="all" dataOnly="0" outline="0" fieldPosition="0"/>
    </format>
    <format dxfId="338">
      <pivotArea outline="0" collapsedLevelsAreSubtotals="1" fieldPosition="0"/>
    </format>
    <format dxfId="339">
      <pivotArea field="10" type="button" dataOnly="0" labelOnly="1" outline="0"/>
    </format>
    <format dxfId="340">
      <pivotArea dataOnly="0" labelOnly="1" grandRow="1" outline="0" fieldPosition="0"/>
    </format>
    <format dxfId="34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5A5D59E-BD8A-42EA-986C-E3111F94593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N11:N12" firstHeaderRow="1" firstDataRow="1" firstDataCol="0"/>
  <pivotFields count="21">
    <pivotField showAll="0"/>
    <pivotField numFmtId="14" showAll="0"/>
    <pivotField numFmtId="14" showAll="0"/>
    <pivotField showAll="0"/>
    <pivotField showAll="0"/>
    <pivotField showAll="0"/>
    <pivotField showAll="0"/>
    <pivotField showAll="0">
      <items count="5">
        <item x="2"/>
        <item x="3"/>
        <item x="0"/>
        <item x="1"/>
        <item t="default"/>
      </items>
    </pivotField>
    <pivotField showAll="0"/>
    <pivotField showAll="0"/>
    <pivotField showAll="0">
      <items count="5">
        <item x="0"/>
        <item x="3"/>
        <item x="2"/>
        <item x="1"/>
        <item t="default"/>
      </items>
    </pivotField>
    <pivotField showAll="0"/>
    <pivotField showAll="0"/>
    <pivotField showAll="0"/>
    <pivotField showAll="0"/>
    <pivotField showAll="0"/>
    <pivotField showAll="0">
      <items count="4">
        <item x="2"/>
        <item x="1"/>
        <item x="0"/>
        <item t="default"/>
      </items>
    </pivotField>
    <pivotField dataField="1" showAll="0"/>
    <pivotField showAll="0"/>
    <pivotField showAll="0"/>
    <pivotField showAll="0">
      <items count="4">
        <item x="1"/>
        <item x="0"/>
        <item x="2"/>
        <item t="default"/>
      </items>
    </pivotField>
  </pivotFields>
  <rowItems count="1">
    <i/>
  </rowItems>
  <colItems count="1">
    <i/>
  </colItems>
  <dataFields count="1">
    <dataField name="Sum of Total Sales" fld="17" baseField="0" baseItem="0"/>
  </dataFields>
  <formats count="5">
    <format dxfId="342">
      <pivotArea type="all" dataOnly="0" outline="0" fieldPosition="0"/>
    </format>
    <format dxfId="343">
      <pivotArea outline="0" collapsedLevelsAreSubtotals="1" fieldPosition="0"/>
    </format>
    <format dxfId="344">
      <pivotArea field="10" type="button" dataOnly="0" labelOnly="1" outline="0"/>
    </format>
    <format dxfId="345">
      <pivotArea dataOnly="0" labelOnly="1" grandRow="1" outline="0" fieldPosition="0"/>
    </format>
    <format dxfId="34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4D4461F-F124-4EA0-872F-EB55C75B568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G3:H8" firstHeaderRow="1" firstDataRow="1" firstDataCol="1"/>
  <pivotFields count="21">
    <pivotField showAll="0"/>
    <pivotField numFmtId="14" showAll="0"/>
    <pivotField numFmtId="14" showAll="0"/>
    <pivotField showAll="0"/>
    <pivotField showAll="0"/>
    <pivotField showAll="0"/>
    <pivotField showAll="0"/>
    <pivotField axis="axisRow" showAll="0">
      <items count="5">
        <item x="2"/>
        <item x="3"/>
        <item x="0"/>
        <item x="1"/>
        <item t="default"/>
      </items>
    </pivotField>
    <pivotField showAll="0"/>
    <pivotField showAll="0"/>
    <pivotField showAll="0">
      <items count="5">
        <item x="0"/>
        <item x="3"/>
        <item x="2"/>
        <item x="1"/>
        <item t="default"/>
      </items>
    </pivotField>
    <pivotField showAll="0"/>
    <pivotField showAll="0"/>
    <pivotField showAll="0"/>
    <pivotField showAll="0"/>
    <pivotField showAll="0"/>
    <pivotField showAll="0">
      <items count="4">
        <item x="2"/>
        <item x="1"/>
        <item x="0"/>
        <item t="default"/>
      </items>
    </pivotField>
    <pivotField showAll="0"/>
    <pivotField showAll="0"/>
    <pivotField dataField="1" showAll="0"/>
    <pivotField showAll="0">
      <items count="4">
        <item x="1"/>
        <item x="0"/>
        <item x="2"/>
        <item t="default"/>
      </items>
    </pivotField>
  </pivotFields>
  <rowFields count="1">
    <field x="7"/>
  </rowFields>
  <rowItems count="5">
    <i>
      <x/>
    </i>
    <i>
      <x v="1"/>
    </i>
    <i>
      <x v="2"/>
    </i>
    <i>
      <x v="3"/>
    </i>
    <i t="grand">
      <x/>
    </i>
  </rowItems>
  <colItems count="1">
    <i/>
  </colItems>
  <dataFields count="1">
    <dataField name="Sum of Net Sales" fld="19" baseField="7" baseItem="1" numFmtId="164"/>
  </dataFields>
  <formats count="6">
    <format dxfId="413">
      <pivotArea type="all" dataOnly="0" outline="0" fieldPosition="0"/>
    </format>
    <format dxfId="412">
      <pivotArea outline="0" collapsedLevelsAreSubtotals="1" fieldPosition="0"/>
    </format>
    <format dxfId="411">
      <pivotArea field="20" type="button" dataOnly="0" labelOnly="1" outline="0"/>
    </format>
    <format dxfId="410">
      <pivotArea dataOnly="0" labelOnly="1" grandRow="1" outline="0" fieldPosition="0"/>
    </format>
    <format dxfId="409">
      <pivotArea dataOnly="0" labelOnly="1" outline="0" axis="axisValues" fieldPosition="0"/>
    </format>
    <format dxfId="408">
      <pivotArea outline="0" fieldPosition="0">
        <references count="1">
          <reference field="4294967294" count="1">
            <x v="0"/>
          </reference>
        </references>
      </pivotArea>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7" count="1" selected="0">
            <x v="0"/>
          </reference>
        </references>
      </pivotArea>
    </chartFormat>
    <chartFormat chart="2" format="8">
      <pivotArea type="data" outline="0" fieldPosition="0">
        <references count="2">
          <reference field="4294967294" count="1" selected="0">
            <x v="0"/>
          </reference>
          <reference field="7" count="1" selected="0">
            <x v="1"/>
          </reference>
        </references>
      </pivotArea>
    </chartFormat>
    <chartFormat chart="2" format="9">
      <pivotArea type="data" outline="0" fieldPosition="0">
        <references count="2">
          <reference field="4294967294" count="1" selected="0">
            <x v="0"/>
          </reference>
          <reference field="7" count="1" selected="0">
            <x v="2"/>
          </reference>
        </references>
      </pivotArea>
    </chartFormat>
    <chartFormat chart="2" format="10">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5ABE95E-9D3A-42E8-89AD-E43CFBB363C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2:B16" firstHeaderRow="1" firstDataRow="1" firstDataCol="1"/>
  <pivotFields count="21">
    <pivotField showAll="0"/>
    <pivotField numFmtId="14" showAll="0"/>
    <pivotField numFmtId="14" showAll="0"/>
    <pivotField showAll="0"/>
    <pivotField showAll="0"/>
    <pivotField showAll="0"/>
    <pivotField showAll="0"/>
    <pivotField showAll="0">
      <items count="5">
        <item x="2"/>
        <item x="3"/>
        <item x="0"/>
        <item x="1"/>
        <item t="default"/>
      </items>
    </pivotField>
    <pivotField showAll="0"/>
    <pivotField showAll="0"/>
    <pivotField showAll="0">
      <items count="5">
        <item x="0"/>
        <item x="3"/>
        <item x="2"/>
        <item x="1"/>
        <item t="default"/>
      </items>
    </pivotField>
    <pivotField showAll="0"/>
    <pivotField showAll="0"/>
    <pivotField showAll="0"/>
    <pivotField showAll="0"/>
    <pivotField showAll="0"/>
    <pivotField axis="axisRow" showAll="0">
      <items count="4">
        <item x="2"/>
        <item x="1"/>
        <item x="0"/>
        <item t="default"/>
      </items>
    </pivotField>
    <pivotField showAll="0"/>
    <pivotField showAll="0"/>
    <pivotField dataField="1" showAll="0"/>
    <pivotField showAll="0">
      <items count="4">
        <item x="1"/>
        <item x="0"/>
        <item x="2"/>
        <item t="default"/>
      </items>
    </pivotField>
  </pivotFields>
  <rowFields count="1">
    <field x="16"/>
  </rowFields>
  <rowItems count="4">
    <i>
      <x/>
    </i>
    <i>
      <x v="1"/>
    </i>
    <i>
      <x v="2"/>
    </i>
    <i t="grand">
      <x/>
    </i>
  </rowItems>
  <colItems count="1">
    <i/>
  </colItems>
  <dataFields count="1">
    <dataField name="Sum of Net Sales" fld="19" baseField="10" baseItem="0" numFmtId="164"/>
  </dataFields>
  <formats count="6">
    <format dxfId="371">
      <pivotArea type="all" dataOnly="0" outline="0" fieldPosition="0"/>
    </format>
    <format dxfId="372">
      <pivotArea outline="0" collapsedLevelsAreSubtotals="1" fieldPosition="0"/>
    </format>
    <format dxfId="373">
      <pivotArea field="10" type="button" dataOnly="0" labelOnly="1" outline="0"/>
    </format>
    <format dxfId="374">
      <pivotArea dataOnly="0" labelOnly="1" grandRow="1" outline="0" fieldPosition="0"/>
    </format>
    <format dxfId="375">
      <pivotArea dataOnly="0" labelOnly="1" outline="0" axis="axisValues" fieldPosition="0"/>
    </format>
    <format dxfId="376">
      <pivotArea outline="0" fieldPosition="0">
        <references count="1">
          <reference field="4294967294" count="1">
            <x v="0"/>
          </reference>
        </references>
      </pivotArea>
    </format>
  </formats>
  <chartFormats count="4">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6" count="1" selected="0">
            <x v="0"/>
          </reference>
        </references>
      </pivotArea>
    </chartFormat>
    <chartFormat chart="6" format="7">
      <pivotArea type="data" outline="0" fieldPosition="0">
        <references count="2">
          <reference field="4294967294" count="1" selected="0">
            <x v="0"/>
          </reference>
          <reference field="16" count="1" selected="0">
            <x v="1"/>
          </reference>
        </references>
      </pivotArea>
    </chartFormat>
    <chartFormat chart="6" format="8">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CF093FD-85D2-46FE-82E4-C223EA6250A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J15:K21" firstHeaderRow="1" firstDataRow="1" firstDataCol="1"/>
  <pivotFields count="21">
    <pivotField showAll="0"/>
    <pivotField numFmtId="14" showAll="0"/>
    <pivotField numFmtId="14" showAll="0"/>
    <pivotField showAll="0"/>
    <pivotField showAll="0"/>
    <pivotField showAll="0"/>
    <pivotField showAll="0"/>
    <pivotField showAll="0">
      <items count="5">
        <item x="2"/>
        <item x="3"/>
        <item x="0"/>
        <item x="1"/>
        <item t="default"/>
      </items>
    </pivotField>
    <pivotField showAll="0"/>
    <pivotField axis="axisRow" showAll="0" measureFilter="1">
      <items count="11">
        <item x="3"/>
        <item x="8"/>
        <item x="0"/>
        <item x="1"/>
        <item x="5"/>
        <item x="9"/>
        <item x="6"/>
        <item x="2"/>
        <item x="4"/>
        <item x="7"/>
        <item t="default"/>
      </items>
    </pivotField>
    <pivotField showAll="0">
      <items count="5">
        <item x="0"/>
        <item x="3"/>
        <item x="2"/>
        <item x="1"/>
        <item t="default"/>
      </items>
    </pivotField>
    <pivotField showAll="0"/>
    <pivotField showAll="0"/>
    <pivotField showAll="0"/>
    <pivotField showAll="0"/>
    <pivotField showAll="0"/>
    <pivotField showAll="0">
      <items count="4">
        <item x="2"/>
        <item x="1"/>
        <item x="0"/>
        <item t="default"/>
      </items>
    </pivotField>
    <pivotField showAll="0"/>
    <pivotField showAll="0"/>
    <pivotField dataField="1" showAll="0"/>
    <pivotField showAll="0">
      <items count="4">
        <item x="1"/>
        <item x="0"/>
        <item x="2"/>
        <item t="default"/>
      </items>
    </pivotField>
  </pivotFields>
  <rowFields count="1">
    <field x="9"/>
  </rowFields>
  <rowItems count="6">
    <i>
      <x/>
    </i>
    <i>
      <x v="2"/>
    </i>
    <i>
      <x v="7"/>
    </i>
    <i>
      <x v="8"/>
    </i>
    <i>
      <x v="9"/>
    </i>
    <i t="grand">
      <x/>
    </i>
  </rowItems>
  <colItems count="1">
    <i/>
  </colItems>
  <dataFields count="1">
    <dataField name="Sum of Net Sales" fld="19" baseField="10" baseItem="0" numFmtId="164"/>
  </dataFields>
  <formats count="6">
    <format dxfId="353">
      <pivotArea type="all" dataOnly="0" outline="0" fieldPosition="0"/>
    </format>
    <format dxfId="354">
      <pivotArea outline="0" collapsedLevelsAreSubtotals="1" fieldPosition="0"/>
    </format>
    <format dxfId="355">
      <pivotArea field="10" type="button" dataOnly="0" labelOnly="1" outline="0"/>
    </format>
    <format dxfId="356">
      <pivotArea dataOnly="0" labelOnly="1" grandRow="1" outline="0" fieldPosition="0"/>
    </format>
    <format dxfId="357">
      <pivotArea dataOnly="0" labelOnly="1" outline="0" axis="axisValues" fieldPosition="0"/>
    </format>
    <format dxfId="358">
      <pivotArea outline="0" fieldPosition="0">
        <references count="1">
          <reference field="4294967294" count="1">
            <x v="0"/>
          </reference>
        </references>
      </pivotArea>
    </format>
  </formats>
  <chartFormats count="19">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9" count="1" selected="0">
            <x v="0"/>
          </reference>
        </references>
      </pivotArea>
    </chartFormat>
    <chartFormat chart="3" format="4">
      <pivotArea type="data" outline="0" fieldPosition="0">
        <references count="2">
          <reference field="4294967294" count="1" selected="0">
            <x v="0"/>
          </reference>
          <reference field="9" count="1" selected="0">
            <x v="1"/>
          </reference>
        </references>
      </pivotArea>
    </chartFormat>
    <chartFormat chart="3" format="5">
      <pivotArea type="data" outline="0" fieldPosition="0">
        <references count="2">
          <reference field="4294967294" count="1" selected="0">
            <x v="0"/>
          </reference>
          <reference field="9" count="1" selected="0">
            <x v="2"/>
          </reference>
        </references>
      </pivotArea>
    </chartFormat>
    <chartFormat chart="3" format="6">
      <pivotArea type="data" outline="0" fieldPosition="0">
        <references count="2">
          <reference field="4294967294" count="1" selected="0">
            <x v="0"/>
          </reference>
          <reference field="9" count="1" selected="0">
            <x v="3"/>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9" count="1" selected="0">
            <x v="7"/>
          </reference>
        </references>
      </pivotArea>
    </chartFormat>
    <chartFormat chart="16" format="3">
      <pivotArea type="data" outline="0" fieldPosition="0">
        <references count="2">
          <reference field="4294967294" count="1" selected="0">
            <x v="0"/>
          </reference>
          <reference field="9" count="1" selected="0">
            <x v="1"/>
          </reference>
        </references>
      </pivotArea>
    </chartFormat>
    <chartFormat chart="16" format="4">
      <pivotArea type="data" outline="0" fieldPosition="0">
        <references count="2">
          <reference field="4294967294" count="1" selected="0">
            <x v="0"/>
          </reference>
          <reference field="9"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0" format="3">
      <pivotArea type="data" outline="0" fieldPosition="0">
        <references count="2">
          <reference field="4294967294" count="1" selected="0">
            <x v="0"/>
          </reference>
          <reference field="9" count="1" selected="0">
            <x v="0"/>
          </reference>
        </references>
      </pivotArea>
    </chartFormat>
    <chartFormat chart="20" format="4">
      <pivotArea type="data" outline="0" fieldPosition="0">
        <references count="2">
          <reference field="4294967294" count="1" selected="0">
            <x v="0"/>
          </reference>
          <reference field="9" count="1" selected="0">
            <x v="2"/>
          </reference>
        </references>
      </pivotArea>
    </chartFormat>
    <chartFormat chart="20" format="5">
      <pivotArea type="data" outline="0" fieldPosition="0">
        <references count="2">
          <reference field="4294967294" count="1" selected="0">
            <x v="0"/>
          </reference>
          <reference field="9" count="1" selected="0">
            <x v="7"/>
          </reference>
        </references>
      </pivotArea>
    </chartFormat>
    <chartFormat chart="20" format="6">
      <pivotArea type="data" outline="0" fieldPosition="0">
        <references count="2">
          <reference field="4294967294" count="1" selected="0">
            <x v="0"/>
          </reference>
          <reference field="9" count="1" selected="0">
            <x v="8"/>
          </reference>
        </references>
      </pivotArea>
    </chartFormat>
    <chartFormat chart="20" format="7">
      <pivotArea type="data" outline="0" fieldPosition="0">
        <references count="2">
          <reference field="4294967294" count="1" selected="0">
            <x v="0"/>
          </reference>
          <reference field="9" count="1" selected="0">
            <x v="9"/>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6033FAE-B277-4786-9623-DDDADE4B7F8C}" autoFormatId="16" applyNumberFormats="0" applyBorderFormats="0" applyFontFormats="0" applyPatternFormats="0" applyAlignmentFormats="0" applyWidthHeightFormats="0">
  <queryTableRefresh nextId="24">
    <queryTableFields count="23">
      <queryTableField id="1" name="OrderID" tableColumnId="1"/>
      <queryTableField id="2" name="OrderDate" tableColumnId="2"/>
      <queryTableField id="3" name="ShipDate" tableColumnId="3"/>
      <queryTableField id="4" name="CustomerID" tableColumnId="4"/>
      <queryTableField id="5" name="CustomerName" tableColumnId="5"/>
      <queryTableField id="6" name="City" tableColumnId="6"/>
      <queryTableField id="7" name="State" tableColumnId="7"/>
      <queryTableField id="8" name="Region" tableColumnId="8"/>
      <queryTableField id="9" name="ProductID" tableColumnId="9"/>
      <queryTableField id="10" name="ProductName" tableColumnId="10"/>
      <queryTableField id="11" name="Category" tableColumnId="11"/>
      <queryTableField id="12" name="Quantity" tableColumnId="12"/>
      <queryTableField id="13" name="UnitPrice" tableColumnId="13"/>
      <queryTableField id="14" name="Discount" tableColumnId="14"/>
      <queryTableField id="15" name="ShippingCost" tableColumnId="15"/>
      <queryTableField id="16" name="PaymentMode" tableColumnId="16"/>
      <queryTableField id="17" name="OrderStatus" tableColumnId="17"/>
      <queryTableField id="18" name="Total Sales" tableColumnId="18"/>
      <queryTableField id="19" name="Discount Value" tableColumnId="19"/>
      <queryTableField id="20" name="Net Sales" tableColumnId="20"/>
      <queryTableField id="21" name="Order Month" tableColumnId="21"/>
      <queryTableField id="22" name="Custom" tableColumnId="22"/>
      <queryTableField id="23" name="Custom.1"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 xr10:uid="{CC71ECB9-E979-43E8-9C94-D3B3BA2F2DA0}" sourceName="Order Month">
  <pivotTables>
    <pivotTable tabId="3" name="PivotTable8"/>
    <pivotTable tabId="3" name="PivotTable1"/>
    <pivotTable tabId="3" name="PivotTable2"/>
    <pivotTable tabId="3" name="PivotTable3"/>
    <pivotTable tabId="3" name="PivotTable4"/>
    <pivotTable tabId="3" name="PivotTable5"/>
    <pivotTable tabId="3" name="PivotTable6"/>
    <pivotTable tabId="3" name="PivotTable7"/>
    <pivotTable tabId="3" name="PivotTable9"/>
    <pivotTable tabId="3" name="PivotTable10"/>
    <pivotTable tabId="3" name="PivotTable11"/>
    <pivotTable tabId="3" name="PivotTable12"/>
    <pivotTable tabId="3" name="PivotTable13"/>
  </pivotTables>
  <data>
    <tabular pivotCacheId="666913877">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F960BDA-0A6E-407C-B718-0095573DED44}" sourceName="Region">
  <pivotTables>
    <pivotTable tabId="3" name="PivotTable1"/>
    <pivotTable tabId="3" name="PivotTable2"/>
    <pivotTable tabId="3" name="PivotTable4"/>
    <pivotTable tabId="3" name="PivotTable5"/>
    <pivotTable tabId="3" name="PivotTable6"/>
    <pivotTable tabId="3" name="PivotTable7"/>
    <pivotTable tabId="3" name="PivotTable8"/>
    <pivotTable tabId="3" name="PivotTable9"/>
    <pivotTable tabId="3" name="PivotTable10"/>
    <pivotTable tabId="3" name="PivotTable11"/>
    <pivotTable tabId="3" name="PivotTable12"/>
    <pivotTable tabId="3" name="PivotTable13"/>
  </pivotTables>
  <data>
    <tabular pivotCacheId="666913877">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tatus" xr10:uid="{CBE13F6F-E02E-4EE4-8D1A-A3034D075816}" sourceName="OrderStatus">
  <pivotTables>
    <pivotTable tabId="3" name="PivotTable1"/>
    <pivotTable tabId="3" name="PivotTable2"/>
    <pivotTable tabId="3" name="PivotTable3"/>
    <pivotTable tabId="3" name="PivotTable4"/>
    <pivotTable tabId="3" name="PivotTable6"/>
    <pivotTable tabId="3" name="PivotTable7"/>
    <pivotTable tabId="3" name="PivotTable8"/>
    <pivotTable tabId="3" name="PivotTable10"/>
    <pivotTable tabId="3" name="PivotTable11"/>
    <pivotTable tabId="3" name="PivotTable12"/>
    <pivotTable tabId="3" name="PivotTable13"/>
  </pivotTables>
  <data>
    <tabular pivotCacheId="666913877">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nth" xr10:uid="{2A7435C8-86D1-403D-92A3-2412CB157293}" cache="Slicer_Order_Month" caption="Order Month" style="SlicerStyleDark1" rowHeight="324000"/>
  <slicer name="Region" xr10:uid="{284EF6BD-55DB-4B12-8A98-098B6226D693}" cache="Slicer_Region" caption="Region" startItem="1" style="SlicerStyleDark1" rowHeight="252000"/>
  <slicer name="OrderStatus" xr10:uid="{A58FE2FA-AA7F-4EBC-945F-03F308FD9B90}" cache="Slicer_OrderStatus" caption="OrderStatus" style="SlicerStyleDark1" rowHeight="36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ADDD7A-5170-4AB3-B079-D9C44D615EEB}" name="ecommerce_100_rows" displayName="ecommerce_100_rows" ref="A1:W32" tableType="queryTable" totalsRowShown="0">
  <autoFilter ref="A1:W32" xr:uid="{67ADDD7A-5170-4AB3-B079-D9C44D615EEB}"/>
  <tableColumns count="23">
    <tableColumn id="1" xr3:uid="{81192466-E6CD-45A7-AC13-C664C5EF4FB8}" uniqueName="1" name="OrderID" queryTableFieldId="1"/>
    <tableColumn id="2" xr3:uid="{9896529E-124C-4109-BFAA-8DB756CED865}" uniqueName="2" name="OrderDate" queryTableFieldId="2" dataDxfId="407"/>
    <tableColumn id="3" xr3:uid="{D019AA97-855C-496C-A9F4-F4EBA1460EAD}" uniqueName="3" name="ShipDate" queryTableFieldId="3" dataDxfId="406"/>
    <tableColumn id="4" xr3:uid="{85EAA665-7C17-4045-BF99-B389948B4B71}" uniqueName="4" name="CustomerID" queryTableFieldId="4" dataDxfId="405"/>
    <tableColumn id="5" xr3:uid="{58FC472E-AB17-4C42-B0D0-4EF26AD362D5}" uniqueName="5" name="CustomerName" queryTableFieldId="5" dataDxfId="404"/>
    <tableColumn id="6" xr3:uid="{EAB28163-23D6-4F54-9F01-0BDCADE22D2A}" uniqueName="6" name="City" queryTableFieldId="6" dataDxfId="403"/>
    <tableColumn id="7" xr3:uid="{F193432C-169B-445F-8168-24B577958254}" uniqueName="7" name="State" queryTableFieldId="7" dataDxfId="402"/>
    <tableColumn id="8" xr3:uid="{021048B2-7473-4F4D-867D-6A5550210E8E}" uniqueName="8" name="Region" queryTableFieldId="8" dataDxfId="401"/>
    <tableColumn id="9" xr3:uid="{2C48BA75-0B6D-45A2-A7FB-41C1AA25EF80}" uniqueName="9" name="ProductID" queryTableFieldId="9" dataDxfId="400"/>
    <tableColumn id="10" xr3:uid="{D0570DC6-08A5-4F5B-9498-70E8DC3E5E7F}" uniqueName="10" name="ProductName" queryTableFieldId="10" dataDxfId="399"/>
    <tableColumn id="11" xr3:uid="{EFF548D8-54F9-47E3-81E1-C30A34E7D1BE}" uniqueName="11" name="Category" queryTableFieldId="11" dataDxfId="398"/>
    <tableColumn id="12" xr3:uid="{5B1D847F-0726-4033-96C1-87CCB2A1C445}" uniqueName="12" name="Quantity" queryTableFieldId="12"/>
    <tableColumn id="13" xr3:uid="{C0F1BB82-CB42-4F93-B185-793C5A112DC8}" uniqueName="13" name="UnitPrice" queryTableFieldId="13"/>
    <tableColumn id="14" xr3:uid="{FC310F56-76B1-4C50-A62C-E0B0E6DA1687}" uniqueName="14" name="Discount" queryTableFieldId="14"/>
    <tableColumn id="15" xr3:uid="{705A4F1D-730A-4B3C-ABA4-94DB6F0BE41E}" uniqueName="15" name="ShippingCost" queryTableFieldId="15"/>
    <tableColumn id="16" xr3:uid="{57721D90-E045-458A-9854-05A4337CC7F7}" uniqueName="16" name="PaymentMode" queryTableFieldId="16" dataDxfId="397"/>
    <tableColumn id="17" xr3:uid="{35E5B942-3DFE-4EA7-B8B7-564659B41B6D}" uniqueName="17" name="OrderStatus" queryTableFieldId="17" dataDxfId="396"/>
    <tableColumn id="18" xr3:uid="{00120617-7190-40A9-87B8-169DBD5B7EDE}" uniqueName="18" name="Total Sales" queryTableFieldId="18"/>
    <tableColumn id="19" xr3:uid="{8FF92BDB-262B-4ACC-9688-E008BFE3570D}" uniqueName="19" name="Discount Value" queryTableFieldId="19"/>
    <tableColumn id="20" xr3:uid="{399A9121-6537-4BA8-B594-A01D5BB6EB59}" uniqueName="20" name="Net Sales" queryTableFieldId="20"/>
    <tableColumn id="21" xr3:uid="{75EC6647-CCF6-4C7E-A710-812FA49A8655}" uniqueName="21" name="Order Month" queryTableFieldId="21"/>
    <tableColumn id="22" xr3:uid="{89960036-3C04-43C0-80DB-607970533BD9}" uniqueName="22" name="Custom" queryTableFieldId="22"/>
    <tableColumn id="23" xr3:uid="{8196CEFA-1DD0-4BB1-AFE6-B9F4709501C8}" uniqueName="23" name="Custom.1" queryTableFieldId="2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7D34B-6B66-4485-B9C4-3B0E40C2837C}">
  <dimension ref="A1:N35"/>
  <sheetViews>
    <sheetView workbookViewId="0">
      <selection activeCell="K26" sqref="K26"/>
    </sheetView>
  </sheetViews>
  <sheetFormatPr defaultRowHeight="15" x14ac:dyDescent="0.25"/>
  <cols>
    <col min="1" max="1" width="13.140625" bestFit="1" customWidth="1"/>
    <col min="2" max="2" width="16" bestFit="1" customWidth="1"/>
    <col min="4" max="4" width="13.140625" bestFit="1" customWidth="1"/>
    <col min="5" max="5" width="16" bestFit="1" customWidth="1"/>
    <col min="7" max="7" width="13.140625" bestFit="1" customWidth="1"/>
    <col min="8" max="8" width="16" bestFit="1" customWidth="1"/>
    <col min="10" max="10" width="13.140625" bestFit="1" customWidth="1"/>
    <col min="11" max="11" width="16" bestFit="1" customWidth="1"/>
    <col min="13" max="13" width="16" bestFit="1" customWidth="1"/>
    <col min="14" max="14" width="20.7109375" bestFit="1" customWidth="1"/>
  </cols>
  <sheetData>
    <row r="1" spans="1:14" ht="15.75" thickBot="1" x14ac:dyDescent="0.3"/>
    <row r="2" spans="1:14" ht="15.75" thickBot="1" x14ac:dyDescent="0.3">
      <c r="A2" s="16" t="s">
        <v>138</v>
      </c>
      <c r="B2" s="17"/>
      <c r="D2" s="16" t="s">
        <v>140</v>
      </c>
      <c r="E2" s="17"/>
      <c r="G2" s="16" t="s">
        <v>141</v>
      </c>
      <c r="H2" s="17"/>
      <c r="J2" s="16" t="s">
        <v>152</v>
      </c>
      <c r="K2" s="17"/>
    </row>
    <row r="3" spans="1:14" ht="15.75" thickBot="1" x14ac:dyDescent="0.3">
      <c r="A3" s="9" t="s">
        <v>136</v>
      </c>
      <c r="B3" s="3" t="s">
        <v>139</v>
      </c>
      <c r="D3" s="9" t="s">
        <v>136</v>
      </c>
      <c r="E3" s="3" t="s">
        <v>139</v>
      </c>
      <c r="G3" s="4" t="s">
        <v>136</v>
      </c>
      <c r="H3" s="3" t="s">
        <v>139</v>
      </c>
      <c r="J3" s="3" t="s">
        <v>139</v>
      </c>
    </row>
    <row r="4" spans="1:14" ht="15.75" thickBot="1" x14ac:dyDescent="0.3">
      <c r="A4" s="2" t="s">
        <v>25</v>
      </c>
      <c r="B4" s="6">
        <v>720317</v>
      </c>
      <c r="D4" s="10" t="s">
        <v>50</v>
      </c>
      <c r="E4" s="6">
        <v>2561179</v>
      </c>
      <c r="G4" s="2" t="s">
        <v>62</v>
      </c>
      <c r="H4" s="6">
        <v>1194243</v>
      </c>
      <c r="J4" s="13">
        <v>4351346</v>
      </c>
    </row>
    <row r="5" spans="1:14" ht="15.75" thickBot="1" x14ac:dyDescent="0.3">
      <c r="A5" s="2" t="s">
        <v>53</v>
      </c>
      <c r="B5" s="7">
        <v>829595</v>
      </c>
      <c r="D5" s="11" t="s">
        <v>28</v>
      </c>
      <c r="E5" s="7">
        <v>1746967</v>
      </c>
      <c r="G5" s="2" t="s">
        <v>86</v>
      </c>
      <c r="H5" s="7">
        <v>222359</v>
      </c>
    </row>
    <row r="6" spans="1:14" ht="15.75" thickBot="1" x14ac:dyDescent="0.3">
      <c r="A6" s="2" t="s">
        <v>48</v>
      </c>
      <c r="B6" s="7">
        <v>1505274</v>
      </c>
      <c r="D6" s="12" t="s">
        <v>75</v>
      </c>
      <c r="E6" s="7">
        <v>43200</v>
      </c>
      <c r="G6" s="2" t="s">
        <v>22</v>
      </c>
      <c r="H6" s="7">
        <v>1832699</v>
      </c>
      <c r="M6" s="16" t="s">
        <v>142</v>
      </c>
      <c r="N6" s="17"/>
    </row>
    <row r="7" spans="1:14" ht="15.75" thickBot="1" x14ac:dyDescent="0.3">
      <c r="A7" s="2" t="s">
        <v>40</v>
      </c>
      <c r="B7" s="7">
        <v>1296160</v>
      </c>
      <c r="D7" s="5" t="s">
        <v>137</v>
      </c>
      <c r="E7" s="8">
        <v>4351346</v>
      </c>
      <c r="G7" s="2" t="s">
        <v>33</v>
      </c>
      <c r="H7" s="7">
        <v>1102045</v>
      </c>
      <c r="M7" s="3" t="s">
        <v>139</v>
      </c>
    </row>
    <row r="8" spans="1:14" ht="15.75" thickBot="1" x14ac:dyDescent="0.3">
      <c r="A8" s="5" t="s">
        <v>137</v>
      </c>
      <c r="B8" s="8">
        <v>4351346</v>
      </c>
      <c r="G8" s="5" t="s">
        <v>137</v>
      </c>
      <c r="H8" s="8">
        <v>4351346</v>
      </c>
      <c r="M8" s="13">
        <v>4351346</v>
      </c>
    </row>
    <row r="10" spans="1:14" ht="15.75" thickBot="1" x14ac:dyDescent="0.3">
      <c r="D10" s="18" t="s">
        <v>143</v>
      </c>
      <c r="E10" s="18"/>
    </row>
    <row r="11" spans="1:14" ht="15.75" thickBot="1" x14ac:dyDescent="0.3">
      <c r="A11" s="16" t="s">
        <v>142</v>
      </c>
      <c r="B11" s="17"/>
      <c r="D11" s="4" t="s">
        <v>136</v>
      </c>
      <c r="E11" s="3" t="s">
        <v>139</v>
      </c>
      <c r="G11" s="16" t="s">
        <v>142</v>
      </c>
      <c r="H11" s="17"/>
      <c r="N11" s="3" t="s">
        <v>149</v>
      </c>
    </row>
    <row r="12" spans="1:14" ht="15.75" thickBot="1" x14ac:dyDescent="0.3">
      <c r="A12" s="4" t="s">
        <v>136</v>
      </c>
      <c r="B12" s="3" t="s">
        <v>139</v>
      </c>
      <c r="D12" s="2" t="s">
        <v>47</v>
      </c>
      <c r="E12" s="6">
        <v>1505274</v>
      </c>
      <c r="G12" s="4" t="s">
        <v>136</v>
      </c>
      <c r="H12" s="3" t="s">
        <v>139</v>
      </c>
      <c r="N12" s="19">
        <v>4827200</v>
      </c>
    </row>
    <row r="13" spans="1:14" x14ac:dyDescent="0.25">
      <c r="A13" s="2" t="s">
        <v>56</v>
      </c>
      <c r="B13" s="6">
        <v>1173800</v>
      </c>
      <c r="D13" s="2" t="s">
        <v>74</v>
      </c>
      <c r="E13" s="7">
        <v>55190</v>
      </c>
      <c r="G13" s="2" t="s">
        <v>56</v>
      </c>
      <c r="H13" s="6">
        <v>1173800</v>
      </c>
    </row>
    <row r="14" spans="1:14" ht="15.75" thickBot="1" x14ac:dyDescent="0.3">
      <c r="A14" s="2" t="s">
        <v>37</v>
      </c>
      <c r="B14" s="7">
        <v>1551292</v>
      </c>
      <c r="D14" s="2" t="s">
        <v>24</v>
      </c>
      <c r="E14" s="7">
        <v>355180</v>
      </c>
      <c r="G14" s="2" t="s">
        <v>37</v>
      </c>
      <c r="H14" s="7">
        <v>1551292</v>
      </c>
      <c r="J14" s="18" t="s">
        <v>144</v>
      </c>
      <c r="K14" s="18"/>
    </row>
    <row r="15" spans="1:14" ht="15.75" thickBot="1" x14ac:dyDescent="0.3">
      <c r="A15" s="2" t="s">
        <v>27</v>
      </c>
      <c r="B15" s="7">
        <v>1626254</v>
      </c>
      <c r="D15" s="2" t="s">
        <v>35</v>
      </c>
      <c r="E15" s="7">
        <v>100426</v>
      </c>
      <c r="G15" s="2" t="s">
        <v>27</v>
      </c>
      <c r="H15" s="7">
        <v>1626254</v>
      </c>
      <c r="J15" s="4" t="s">
        <v>136</v>
      </c>
      <c r="K15" s="3" t="s">
        <v>139</v>
      </c>
      <c r="M15" t="s">
        <v>145</v>
      </c>
      <c r="N15" s="3" t="s">
        <v>150</v>
      </c>
    </row>
    <row r="16" spans="1:14" ht="15.75" thickBot="1" x14ac:dyDescent="0.3">
      <c r="A16" s="5" t="s">
        <v>137</v>
      </c>
      <c r="B16" s="8">
        <v>4351346</v>
      </c>
      <c r="D16" s="2" t="s">
        <v>55</v>
      </c>
      <c r="E16" s="7">
        <v>155461</v>
      </c>
      <c r="G16" s="5" t="s">
        <v>137</v>
      </c>
      <c r="H16" s="8">
        <v>4351346</v>
      </c>
      <c r="J16" s="2" t="s">
        <v>47</v>
      </c>
      <c r="K16" s="6">
        <v>1505274</v>
      </c>
      <c r="N16" s="19">
        <v>100</v>
      </c>
    </row>
    <row r="17" spans="4:14" ht="15.75" thickBot="1" x14ac:dyDescent="0.3">
      <c r="D17" s="2" t="s">
        <v>81</v>
      </c>
      <c r="E17" s="7">
        <v>109250</v>
      </c>
      <c r="J17" s="2" t="s">
        <v>24</v>
      </c>
      <c r="K17" s="7">
        <v>355180</v>
      </c>
    </row>
    <row r="18" spans="4:14" ht="15.75" thickBot="1" x14ac:dyDescent="0.3">
      <c r="D18" s="2" t="s">
        <v>59</v>
      </c>
      <c r="E18" s="7">
        <v>112520</v>
      </c>
      <c r="J18" s="2" t="s">
        <v>39</v>
      </c>
      <c r="K18" s="7">
        <v>1183640</v>
      </c>
      <c r="N18" s="3" t="s">
        <v>151</v>
      </c>
    </row>
    <row r="19" spans="4:14" ht="15.75" thickBot="1" x14ac:dyDescent="0.3">
      <c r="D19" s="2" t="s">
        <v>39</v>
      </c>
      <c r="E19" s="7">
        <v>1183640</v>
      </c>
      <c r="J19" s="2" t="s">
        <v>52</v>
      </c>
      <c r="K19" s="7">
        <v>344995</v>
      </c>
      <c r="N19" s="19">
        <v>48272</v>
      </c>
    </row>
    <row r="20" spans="4:14" ht="15.75" thickBot="1" x14ac:dyDescent="0.3">
      <c r="D20" s="2" t="s">
        <v>52</v>
      </c>
      <c r="E20" s="7">
        <v>344995</v>
      </c>
      <c r="J20" s="2" t="s">
        <v>69</v>
      </c>
      <c r="K20" s="7">
        <v>429410</v>
      </c>
    </row>
    <row r="21" spans="4:14" ht="15.75" thickBot="1" x14ac:dyDescent="0.3">
      <c r="D21" s="2" t="s">
        <v>69</v>
      </c>
      <c r="E21" s="7">
        <v>429410</v>
      </c>
      <c r="G21" s="18" t="s">
        <v>153</v>
      </c>
      <c r="H21" s="18"/>
      <c r="J21" s="5" t="s">
        <v>137</v>
      </c>
      <c r="K21" s="8">
        <v>3818499</v>
      </c>
    </row>
    <row r="22" spans="4:14" ht="15.75" thickBot="1" x14ac:dyDescent="0.3">
      <c r="D22" s="5" t="s">
        <v>137</v>
      </c>
      <c r="E22" s="8">
        <v>4351346</v>
      </c>
      <c r="G22" s="4" t="s">
        <v>136</v>
      </c>
      <c r="H22" s="3" t="s">
        <v>139</v>
      </c>
    </row>
    <row r="23" spans="4:14" x14ac:dyDescent="0.25">
      <c r="G23" s="2" t="s">
        <v>36</v>
      </c>
      <c r="H23" s="6">
        <v>859165</v>
      </c>
    </row>
    <row r="24" spans="4:14" x14ac:dyDescent="0.25">
      <c r="G24" s="2" t="s">
        <v>49</v>
      </c>
      <c r="H24" s="7">
        <v>1274074</v>
      </c>
    </row>
    <row r="25" spans="4:14" x14ac:dyDescent="0.25">
      <c r="G25" s="2" t="s">
        <v>41</v>
      </c>
      <c r="H25" s="7">
        <v>1227512</v>
      </c>
    </row>
    <row r="26" spans="4:14" ht="15.75" thickBot="1" x14ac:dyDescent="0.3">
      <c r="G26" s="2" t="s">
        <v>26</v>
      </c>
      <c r="H26" s="7">
        <v>990595</v>
      </c>
    </row>
    <row r="27" spans="4:14" ht="15.75" thickBot="1" x14ac:dyDescent="0.3">
      <c r="G27" s="5" t="s">
        <v>137</v>
      </c>
      <c r="H27" s="8">
        <v>4351346</v>
      </c>
    </row>
    <row r="35" ht="15.75" thickBot="1" x14ac:dyDescent="0.3"/>
  </sheetData>
  <mergeCells count="10">
    <mergeCell ref="G21:H21"/>
    <mergeCell ref="M6:N6"/>
    <mergeCell ref="J14:K14"/>
    <mergeCell ref="A2:B2"/>
    <mergeCell ref="D2:E2"/>
    <mergeCell ref="G2:H2"/>
    <mergeCell ref="J2:K2"/>
    <mergeCell ref="A11:B11"/>
    <mergeCell ref="D10:E10"/>
    <mergeCell ref="G11:H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EC6C1-C95C-4653-B17A-A96417A7B808}">
  <dimension ref="A1:W32"/>
  <sheetViews>
    <sheetView topLeftCell="A10" workbookViewId="0">
      <selection sqref="A1:U101"/>
    </sheetView>
  </sheetViews>
  <sheetFormatPr defaultRowHeight="15" x14ac:dyDescent="0.25"/>
  <cols>
    <col min="1" max="1" width="10.28515625" bestFit="1" customWidth="1"/>
    <col min="2" max="2" width="12.5703125" bestFit="1" customWidth="1"/>
    <col min="3" max="3" width="11.28515625" bestFit="1" customWidth="1"/>
    <col min="4" max="4" width="13.7109375" bestFit="1" customWidth="1"/>
    <col min="5" max="5" width="17.28515625" bestFit="1" customWidth="1"/>
    <col min="6" max="6" width="11.7109375" bestFit="1" customWidth="1"/>
    <col min="7" max="7" width="15.7109375" bestFit="1" customWidth="1"/>
    <col min="8" max="8" width="9.42578125" bestFit="1" customWidth="1"/>
    <col min="9" max="9" width="12" bestFit="1" customWidth="1"/>
    <col min="10" max="10" width="15.5703125" bestFit="1" customWidth="1"/>
    <col min="11" max="11" width="11.140625" bestFit="1" customWidth="1"/>
    <col min="12" max="12" width="11" bestFit="1" customWidth="1"/>
    <col min="13" max="13" width="11.5703125" bestFit="1" customWidth="1"/>
    <col min="14" max="14" width="11" bestFit="1" customWidth="1"/>
    <col min="15" max="15" width="14.85546875" bestFit="1" customWidth="1"/>
    <col min="16" max="16" width="16.5703125" bestFit="1" customWidth="1"/>
    <col min="17" max="17" width="13.85546875" bestFit="1" customWidth="1"/>
    <col min="18" max="18" width="12.7109375" bestFit="1" customWidth="1"/>
    <col min="19" max="19" width="16.7109375" bestFit="1" customWidth="1"/>
    <col min="20" max="20" width="11.5703125" bestFit="1" customWidth="1"/>
    <col min="21" max="21" width="14.85546875" bestFit="1" customWidth="1"/>
    <col min="22" max="22" width="10" bestFit="1" customWidth="1"/>
    <col min="23" max="23" width="11.85546875" bestFit="1" customWidth="1"/>
  </cols>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146</v>
      </c>
      <c r="W1" t="s">
        <v>147</v>
      </c>
    </row>
    <row r="2" spans="1:23" x14ac:dyDescent="0.25">
      <c r="A2">
        <v>1002</v>
      </c>
      <c r="B2" s="1">
        <v>45339</v>
      </c>
      <c r="C2" s="1">
        <v>45344</v>
      </c>
      <c r="D2" t="s">
        <v>29</v>
      </c>
      <c r="E2" t="s">
        <v>30</v>
      </c>
      <c r="F2" t="s">
        <v>31</v>
      </c>
      <c r="G2" t="s">
        <v>32</v>
      </c>
      <c r="H2" t="s">
        <v>33</v>
      </c>
      <c r="I2" t="s">
        <v>34</v>
      </c>
      <c r="J2" t="s">
        <v>35</v>
      </c>
      <c r="K2" t="s">
        <v>25</v>
      </c>
      <c r="L2">
        <v>7</v>
      </c>
      <c r="M2">
        <v>100</v>
      </c>
      <c r="N2">
        <v>0.02</v>
      </c>
      <c r="O2">
        <v>57</v>
      </c>
      <c r="P2" t="s">
        <v>36</v>
      </c>
      <c r="Q2" t="s">
        <v>37</v>
      </c>
      <c r="R2">
        <v>700</v>
      </c>
      <c r="S2">
        <v>14</v>
      </c>
      <c r="T2">
        <v>686</v>
      </c>
      <c r="U2" t="s">
        <v>28</v>
      </c>
      <c r="V2">
        <v>0</v>
      </c>
      <c r="W2" t="s">
        <v>148</v>
      </c>
    </row>
    <row r="3" spans="1:23" x14ac:dyDescent="0.25">
      <c r="A3">
        <v>1004</v>
      </c>
      <c r="B3" s="1">
        <v>45309</v>
      </c>
      <c r="C3" s="1">
        <v>45310</v>
      </c>
      <c r="D3" t="s">
        <v>42</v>
      </c>
      <c r="E3" t="s">
        <v>43</v>
      </c>
      <c r="F3" t="s">
        <v>44</v>
      </c>
      <c r="G3" t="s">
        <v>45</v>
      </c>
      <c r="H3" t="s">
        <v>22</v>
      </c>
      <c r="I3" t="s">
        <v>46</v>
      </c>
      <c r="J3" t="s">
        <v>47</v>
      </c>
      <c r="K3" t="s">
        <v>48</v>
      </c>
      <c r="L3">
        <v>6</v>
      </c>
      <c r="M3">
        <v>800</v>
      </c>
      <c r="N3">
        <v>0.05</v>
      </c>
      <c r="O3">
        <v>120</v>
      </c>
      <c r="P3" t="s">
        <v>49</v>
      </c>
      <c r="Q3" t="s">
        <v>37</v>
      </c>
      <c r="R3">
        <v>4800</v>
      </c>
      <c r="S3">
        <v>240</v>
      </c>
      <c r="T3">
        <v>4560</v>
      </c>
      <c r="U3" t="s">
        <v>50</v>
      </c>
      <c r="V3">
        <v>0</v>
      </c>
      <c r="W3" t="s">
        <v>148</v>
      </c>
    </row>
    <row r="4" spans="1:23" x14ac:dyDescent="0.25">
      <c r="A4">
        <v>1011</v>
      </c>
      <c r="B4" s="1">
        <v>45309</v>
      </c>
      <c r="C4" s="1">
        <v>45310</v>
      </c>
      <c r="D4" t="s">
        <v>65</v>
      </c>
      <c r="E4" t="s">
        <v>66</v>
      </c>
      <c r="F4" t="s">
        <v>63</v>
      </c>
      <c r="G4" t="s">
        <v>64</v>
      </c>
      <c r="H4" t="s">
        <v>33</v>
      </c>
      <c r="I4" t="s">
        <v>34</v>
      </c>
      <c r="J4" t="s">
        <v>35</v>
      </c>
      <c r="K4" t="s">
        <v>25</v>
      </c>
      <c r="L4">
        <v>6</v>
      </c>
      <c r="M4">
        <v>500</v>
      </c>
      <c r="N4">
        <v>0.15</v>
      </c>
      <c r="O4">
        <v>212</v>
      </c>
      <c r="P4" t="s">
        <v>41</v>
      </c>
      <c r="Q4" t="s">
        <v>37</v>
      </c>
      <c r="R4">
        <v>3000</v>
      </c>
      <c r="S4">
        <v>450</v>
      </c>
      <c r="T4">
        <v>2550</v>
      </c>
      <c r="U4" t="s">
        <v>50</v>
      </c>
      <c r="V4">
        <v>0</v>
      </c>
      <c r="W4" t="s">
        <v>148</v>
      </c>
    </row>
    <row r="5" spans="1:23" x14ac:dyDescent="0.25">
      <c r="A5">
        <v>1015</v>
      </c>
      <c r="B5" s="1">
        <v>45347</v>
      </c>
      <c r="C5" s="1">
        <v>45348</v>
      </c>
      <c r="D5" t="s">
        <v>70</v>
      </c>
      <c r="E5" t="s">
        <v>71</v>
      </c>
      <c r="F5" t="s">
        <v>31</v>
      </c>
      <c r="G5" t="s">
        <v>32</v>
      </c>
      <c r="H5" t="s">
        <v>33</v>
      </c>
      <c r="I5" t="s">
        <v>38</v>
      </c>
      <c r="J5" t="s">
        <v>39</v>
      </c>
      <c r="K5" t="s">
        <v>40</v>
      </c>
      <c r="L5">
        <v>5</v>
      </c>
      <c r="M5">
        <v>1500</v>
      </c>
      <c r="N5">
        <v>0.02</v>
      </c>
      <c r="O5">
        <v>160</v>
      </c>
      <c r="P5" t="s">
        <v>41</v>
      </c>
      <c r="Q5" t="s">
        <v>37</v>
      </c>
      <c r="R5">
        <v>7500</v>
      </c>
      <c r="S5">
        <v>150</v>
      </c>
      <c r="T5">
        <v>7350</v>
      </c>
      <c r="U5" t="s">
        <v>28</v>
      </c>
      <c r="V5">
        <v>0</v>
      </c>
      <c r="W5" t="s">
        <v>148</v>
      </c>
    </row>
    <row r="6" spans="1:23" x14ac:dyDescent="0.25">
      <c r="A6">
        <v>1021</v>
      </c>
      <c r="B6" s="1">
        <v>45311</v>
      </c>
      <c r="C6" s="1">
        <v>45315</v>
      </c>
      <c r="D6" t="s">
        <v>76</v>
      </c>
      <c r="E6" t="s">
        <v>77</v>
      </c>
      <c r="F6" t="s">
        <v>57</v>
      </c>
      <c r="G6" t="s">
        <v>58</v>
      </c>
      <c r="H6" t="s">
        <v>22</v>
      </c>
      <c r="I6" t="s">
        <v>68</v>
      </c>
      <c r="J6" t="s">
        <v>69</v>
      </c>
      <c r="K6" t="s">
        <v>53</v>
      </c>
      <c r="L6">
        <v>9</v>
      </c>
      <c r="M6">
        <v>7000</v>
      </c>
      <c r="N6">
        <v>0.02</v>
      </c>
      <c r="O6">
        <v>136</v>
      </c>
      <c r="P6" t="s">
        <v>36</v>
      </c>
      <c r="Q6" t="s">
        <v>37</v>
      </c>
      <c r="R6">
        <v>63000</v>
      </c>
      <c r="S6">
        <v>1260</v>
      </c>
      <c r="T6">
        <v>61740</v>
      </c>
      <c r="U6" t="s">
        <v>50</v>
      </c>
      <c r="V6">
        <v>0</v>
      </c>
      <c r="W6" t="s">
        <v>148</v>
      </c>
    </row>
    <row r="7" spans="1:23" x14ac:dyDescent="0.25">
      <c r="A7">
        <v>1026</v>
      </c>
      <c r="B7" s="1">
        <v>45347</v>
      </c>
      <c r="C7" s="1">
        <v>45348</v>
      </c>
      <c r="D7" t="s">
        <v>78</v>
      </c>
      <c r="E7" t="s">
        <v>79</v>
      </c>
      <c r="F7" t="s">
        <v>31</v>
      </c>
      <c r="G7" t="s">
        <v>32</v>
      </c>
      <c r="H7" t="s">
        <v>33</v>
      </c>
      <c r="I7" t="s">
        <v>80</v>
      </c>
      <c r="J7" t="s">
        <v>81</v>
      </c>
      <c r="K7" t="s">
        <v>25</v>
      </c>
      <c r="L7">
        <v>7</v>
      </c>
      <c r="M7">
        <v>1500</v>
      </c>
      <c r="N7">
        <v>0.02</v>
      </c>
      <c r="O7">
        <v>137</v>
      </c>
      <c r="P7" t="s">
        <v>36</v>
      </c>
      <c r="Q7" t="s">
        <v>37</v>
      </c>
      <c r="R7">
        <v>10500</v>
      </c>
      <c r="S7">
        <v>210</v>
      </c>
      <c r="T7">
        <v>10290</v>
      </c>
      <c r="U7" t="s">
        <v>28</v>
      </c>
      <c r="V7">
        <v>0</v>
      </c>
      <c r="W7" t="s">
        <v>148</v>
      </c>
    </row>
    <row r="8" spans="1:23" x14ac:dyDescent="0.25">
      <c r="A8">
        <v>1028</v>
      </c>
      <c r="B8" s="1">
        <v>45343</v>
      </c>
      <c r="C8" s="1">
        <v>45348</v>
      </c>
      <c r="D8" t="s">
        <v>82</v>
      </c>
      <c r="E8" t="s">
        <v>83</v>
      </c>
      <c r="F8" t="s">
        <v>31</v>
      </c>
      <c r="G8" t="s">
        <v>32</v>
      </c>
      <c r="H8" t="s">
        <v>33</v>
      </c>
      <c r="I8" t="s">
        <v>80</v>
      </c>
      <c r="J8" t="s">
        <v>81</v>
      </c>
      <c r="K8" t="s">
        <v>25</v>
      </c>
      <c r="L8">
        <v>9</v>
      </c>
      <c r="M8">
        <v>100</v>
      </c>
      <c r="N8">
        <v>0.02</v>
      </c>
      <c r="O8">
        <v>484</v>
      </c>
      <c r="P8" t="s">
        <v>36</v>
      </c>
      <c r="Q8" t="s">
        <v>37</v>
      </c>
      <c r="R8">
        <v>900</v>
      </c>
      <c r="S8">
        <v>18</v>
      </c>
      <c r="T8">
        <v>882</v>
      </c>
      <c r="U8" t="s">
        <v>28</v>
      </c>
      <c r="V8">
        <v>0</v>
      </c>
      <c r="W8" t="s">
        <v>148</v>
      </c>
    </row>
    <row r="9" spans="1:23" x14ac:dyDescent="0.25">
      <c r="A9">
        <v>1030</v>
      </c>
      <c r="B9" s="1">
        <v>45308</v>
      </c>
      <c r="C9" s="1">
        <v>45312</v>
      </c>
      <c r="D9" t="s">
        <v>87</v>
      </c>
      <c r="E9" t="s">
        <v>88</v>
      </c>
      <c r="F9" t="s">
        <v>72</v>
      </c>
      <c r="G9" t="s">
        <v>73</v>
      </c>
      <c r="H9" t="s">
        <v>33</v>
      </c>
      <c r="I9" t="s">
        <v>46</v>
      </c>
      <c r="J9" t="s">
        <v>47</v>
      </c>
      <c r="K9" t="s">
        <v>48</v>
      </c>
      <c r="L9">
        <v>9</v>
      </c>
      <c r="M9">
        <v>7000</v>
      </c>
      <c r="N9">
        <v>0.05</v>
      </c>
      <c r="O9">
        <v>107</v>
      </c>
      <c r="P9" t="s">
        <v>49</v>
      </c>
      <c r="Q9" t="s">
        <v>37</v>
      </c>
      <c r="R9">
        <v>63000</v>
      </c>
      <c r="S9">
        <v>3150</v>
      </c>
      <c r="T9">
        <v>59850</v>
      </c>
      <c r="U9" t="s">
        <v>50</v>
      </c>
      <c r="V9">
        <v>0</v>
      </c>
      <c r="W9" t="s">
        <v>148</v>
      </c>
    </row>
    <row r="10" spans="1:23" x14ac:dyDescent="0.25">
      <c r="A10">
        <v>1034</v>
      </c>
      <c r="B10" s="1">
        <v>45297</v>
      </c>
      <c r="C10" s="1">
        <v>45301</v>
      </c>
      <c r="D10" t="s">
        <v>90</v>
      </c>
      <c r="E10" t="s">
        <v>91</v>
      </c>
      <c r="F10" t="s">
        <v>60</v>
      </c>
      <c r="G10" t="s">
        <v>61</v>
      </c>
      <c r="H10" t="s">
        <v>62</v>
      </c>
      <c r="I10" t="s">
        <v>34</v>
      </c>
      <c r="J10" t="s">
        <v>35</v>
      </c>
      <c r="K10" t="s">
        <v>25</v>
      </c>
      <c r="L10">
        <v>9</v>
      </c>
      <c r="M10">
        <v>1500</v>
      </c>
      <c r="N10">
        <v>0.1</v>
      </c>
      <c r="O10">
        <v>114</v>
      </c>
      <c r="P10" t="s">
        <v>49</v>
      </c>
      <c r="Q10" t="s">
        <v>37</v>
      </c>
      <c r="R10">
        <v>13500</v>
      </c>
      <c r="S10">
        <v>1350</v>
      </c>
      <c r="T10">
        <v>12150</v>
      </c>
      <c r="U10" t="s">
        <v>50</v>
      </c>
      <c r="V10">
        <v>0</v>
      </c>
      <c r="W10" t="s">
        <v>148</v>
      </c>
    </row>
    <row r="11" spans="1:23" x14ac:dyDescent="0.25">
      <c r="A11">
        <v>1036</v>
      </c>
      <c r="B11" s="1">
        <v>45328</v>
      </c>
      <c r="C11" s="1">
        <v>45329</v>
      </c>
      <c r="D11" t="s">
        <v>92</v>
      </c>
      <c r="E11" t="s">
        <v>93</v>
      </c>
      <c r="F11" t="s">
        <v>31</v>
      </c>
      <c r="G11" t="s">
        <v>32</v>
      </c>
      <c r="H11" t="s">
        <v>33</v>
      </c>
      <c r="I11" t="s">
        <v>38</v>
      </c>
      <c r="J11" t="s">
        <v>39</v>
      </c>
      <c r="K11" t="s">
        <v>40</v>
      </c>
      <c r="L11">
        <v>4</v>
      </c>
      <c r="M11">
        <v>12000</v>
      </c>
      <c r="N11">
        <v>0.1</v>
      </c>
      <c r="O11">
        <v>77</v>
      </c>
      <c r="P11" t="s">
        <v>49</v>
      </c>
      <c r="Q11" t="s">
        <v>37</v>
      </c>
      <c r="R11">
        <v>48000</v>
      </c>
      <c r="S11">
        <v>4800</v>
      </c>
      <c r="T11">
        <v>43200</v>
      </c>
      <c r="U11" t="s">
        <v>28</v>
      </c>
      <c r="V11">
        <v>0</v>
      </c>
      <c r="W11" t="s">
        <v>148</v>
      </c>
    </row>
    <row r="12" spans="1:23" x14ac:dyDescent="0.25">
      <c r="A12">
        <v>1038</v>
      </c>
      <c r="B12" s="1">
        <v>45343</v>
      </c>
      <c r="C12" s="1">
        <v>45348</v>
      </c>
      <c r="D12" t="s">
        <v>94</v>
      </c>
      <c r="E12" t="s">
        <v>95</v>
      </c>
      <c r="F12" t="s">
        <v>21</v>
      </c>
      <c r="G12" t="s">
        <v>21</v>
      </c>
      <c r="H12" t="s">
        <v>22</v>
      </c>
      <c r="I12" t="s">
        <v>38</v>
      </c>
      <c r="J12" t="s">
        <v>39</v>
      </c>
      <c r="K12" t="s">
        <v>40</v>
      </c>
      <c r="L12">
        <v>5</v>
      </c>
      <c r="M12">
        <v>200</v>
      </c>
      <c r="N12">
        <v>0.05</v>
      </c>
      <c r="O12">
        <v>145</v>
      </c>
      <c r="P12" t="s">
        <v>26</v>
      </c>
      <c r="Q12" t="s">
        <v>37</v>
      </c>
      <c r="R12">
        <v>1000</v>
      </c>
      <c r="S12">
        <v>50</v>
      </c>
      <c r="T12">
        <v>950</v>
      </c>
      <c r="U12" t="s">
        <v>28</v>
      </c>
      <c r="V12">
        <v>0</v>
      </c>
      <c r="W12" t="s">
        <v>148</v>
      </c>
    </row>
    <row r="13" spans="1:23" x14ac:dyDescent="0.25">
      <c r="A13">
        <v>1039</v>
      </c>
      <c r="B13" s="1">
        <v>45339</v>
      </c>
      <c r="C13" s="1">
        <v>45344</v>
      </c>
      <c r="D13" t="s">
        <v>96</v>
      </c>
      <c r="E13" t="s">
        <v>97</v>
      </c>
      <c r="F13" t="s">
        <v>44</v>
      </c>
      <c r="G13" t="s">
        <v>45</v>
      </c>
      <c r="H13" t="s">
        <v>22</v>
      </c>
      <c r="I13" t="s">
        <v>23</v>
      </c>
      <c r="J13" t="s">
        <v>24</v>
      </c>
      <c r="K13" t="s">
        <v>25</v>
      </c>
      <c r="L13">
        <v>5</v>
      </c>
      <c r="M13">
        <v>55000</v>
      </c>
      <c r="N13">
        <v>0.05</v>
      </c>
      <c r="O13">
        <v>377</v>
      </c>
      <c r="P13" t="s">
        <v>49</v>
      </c>
      <c r="Q13" t="s">
        <v>37</v>
      </c>
      <c r="R13">
        <v>275000</v>
      </c>
      <c r="S13">
        <v>13750</v>
      </c>
      <c r="T13">
        <v>261250</v>
      </c>
      <c r="U13" t="s">
        <v>28</v>
      </c>
      <c r="V13">
        <v>0</v>
      </c>
      <c r="W13" t="s">
        <v>148</v>
      </c>
    </row>
    <row r="14" spans="1:23" x14ac:dyDescent="0.25">
      <c r="A14">
        <v>1044</v>
      </c>
      <c r="B14" s="1">
        <v>45298</v>
      </c>
      <c r="C14" s="1">
        <v>45301</v>
      </c>
      <c r="D14" t="s">
        <v>98</v>
      </c>
      <c r="E14" t="s">
        <v>99</v>
      </c>
      <c r="F14" t="s">
        <v>67</v>
      </c>
      <c r="G14" t="s">
        <v>45</v>
      </c>
      <c r="H14" t="s">
        <v>22</v>
      </c>
      <c r="I14" t="s">
        <v>46</v>
      </c>
      <c r="J14" t="s">
        <v>47</v>
      </c>
      <c r="K14" t="s">
        <v>48</v>
      </c>
      <c r="L14">
        <v>10</v>
      </c>
      <c r="M14">
        <v>300</v>
      </c>
      <c r="N14">
        <v>0.05</v>
      </c>
      <c r="O14">
        <v>452</v>
      </c>
      <c r="P14" t="s">
        <v>36</v>
      </c>
      <c r="Q14" t="s">
        <v>37</v>
      </c>
      <c r="R14">
        <v>3000</v>
      </c>
      <c r="S14">
        <v>150</v>
      </c>
      <c r="T14">
        <v>2850</v>
      </c>
      <c r="U14" t="s">
        <v>50</v>
      </c>
      <c r="V14">
        <v>0</v>
      </c>
      <c r="W14" t="s">
        <v>148</v>
      </c>
    </row>
    <row r="15" spans="1:23" x14ac:dyDescent="0.25">
      <c r="A15">
        <v>1046</v>
      </c>
      <c r="B15" s="1">
        <v>45298</v>
      </c>
      <c r="C15" s="1">
        <v>45302</v>
      </c>
      <c r="D15" t="s">
        <v>100</v>
      </c>
      <c r="E15" t="s">
        <v>101</v>
      </c>
      <c r="F15" t="s">
        <v>21</v>
      </c>
      <c r="G15" t="s">
        <v>21</v>
      </c>
      <c r="H15" t="s">
        <v>22</v>
      </c>
      <c r="I15" t="s">
        <v>68</v>
      </c>
      <c r="J15" t="s">
        <v>69</v>
      </c>
      <c r="K15" t="s">
        <v>53</v>
      </c>
      <c r="L15">
        <v>4</v>
      </c>
      <c r="M15">
        <v>500</v>
      </c>
      <c r="N15">
        <v>0.15</v>
      </c>
      <c r="O15">
        <v>189</v>
      </c>
      <c r="P15" t="s">
        <v>49</v>
      </c>
      <c r="Q15" t="s">
        <v>37</v>
      </c>
      <c r="R15">
        <v>2000</v>
      </c>
      <c r="S15">
        <v>300</v>
      </c>
      <c r="T15">
        <v>1700</v>
      </c>
      <c r="U15" t="s">
        <v>50</v>
      </c>
      <c r="V15">
        <v>0</v>
      </c>
      <c r="W15" t="s">
        <v>148</v>
      </c>
    </row>
    <row r="16" spans="1:23" x14ac:dyDescent="0.25">
      <c r="A16">
        <v>1048</v>
      </c>
      <c r="B16" s="1">
        <v>45333</v>
      </c>
      <c r="C16" s="1">
        <v>45338</v>
      </c>
      <c r="D16" t="s">
        <v>102</v>
      </c>
      <c r="E16" t="s">
        <v>103</v>
      </c>
      <c r="F16" t="s">
        <v>89</v>
      </c>
      <c r="G16" t="s">
        <v>61</v>
      </c>
      <c r="H16" t="s">
        <v>62</v>
      </c>
      <c r="I16" t="s">
        <v>38</v>
      </c>
      <c r="J16" t="s">
        <v>39</v>
      </c>
      <c r="K16" t="s">
        <v>40</v>
      </c>
      <c r="L16">
        <v>6</v>
      </c>
      <c r="M16">
        <v>100</v>
      </c>
      <c r="N16">
        <v>0.02</v>
      </c>
      <c r="O16">
        <v>459</v>
      </c>
      <c r="P16" t="s">
        <v>49</v>
      </c>
      <c r="Q16" t="s">
        <v>37</v>
      </c>
      <c r="R16">
        <v>600</v>
      </c>
      <c r="S16">
        <v>12</v>
      </c>
      <c r="T16">
        <v>588</v>
      </c>
      <c r="U16" t="s">
        <v>28</v>
      </c>
      <c r="V16">
        <v>0</v>
      </c>
      <c r="W16" t="s">
        <v>148</v>
      </c>
    </row>
    <row r="17" spans="1:23" x14ac:dyDescent="0.25">
      <c r="A17">
        <v>1050</v>
      </c>
      <c r="B17" s="1">
        <v>45330</v>
      </c>
      <c r="C17" s="1">
        <v>45335</v>
      </c>
      <c r="D17" t="s">
        <v>104</v>
      </c>
      <c r="E17" t="s">
        <v>105</v>
      </c>
      <c r="F17" t="s">
        <v>31</v>
      </c>
      <c r="G17" t="s">
        <v>32</v>
      </c>
      <c r="H17" t="s">
        <v>33</v>
      </c>
      <c r="I17" t="s">
        <v>46</v>
      </c>
      <c r="J17" t="s">
        <v>47</v>
      </c>
      <c r="K17" t="s">
        <v>48</v>
      </c>
      <c r="L17">
        <v>10</v>
      </c>
      <c r="M17">
        <v>500</v>
      </c>
      <c r="N17">
        <v>0.1</v>
      </c>
      <c r="O17">
        <v>32</v>
      </c>
      <c r="P17" t="s">
        <v>41</v>
      </c>
      <c r="Q17" t="s">
        <v>37</v>
      </c>
      <c r="R17">
        <v>5000</v>
      </c>
      <c r="S17">
        <v>500</v>
      </c>
      <c r="T17">
        <v>4500</v>
      </c>
      <c r="U17" t="s">
        <v>28</v>
      </c>
      <c r="V17">
        <v>0</v>
      </c>
      <c r="W17" t="s">
        <v>148</v>
      </c>
    </row>
    <row r="18" spans="1:23" x14ac:dyDescent="0.25">
      <c r="A18">
        <v>1055</v>
      </c>
      <c r="B18" s="1">
        <v>45320</v>
      </c>
      <c r="C18" s="1">
        <v>45324</v>
      </c>
      <c r="D18" t="s">
        <v>106</v>
      </c>
      <c r="E18" t="s">
        <v>107</v>
      </c>
      <c r="F18" t="s">
        <v>63</v>
      </c>
      <c r="G18" t="s">
        <v>64</v>
      </c>
      <c r="H18" t="s">
        <v>33</v>
      </c>
      <c r="I18" t="s">
        <v>38</v>
      </c>
      <c r="J18" t="s">
        <v>39</v>
      </c>
      <c r="K18" t="s">
        <v>40</v>
      </c>
      <c r="L18">
        <v>8</v>
      </c>
      <c r="M18">
        <v>300</v>
      </c>
      <c r="N18">
        <v>0.02</v>
      </c>
      <c r="O18">
        <v>155</v>
      </c>
      <c r="P18" t="s">
        <v>49</v>
      </c>
      <c r="Q18" t="s">
        <v>37</v>
      </c>
      <c r="R18">
        <v>2400</v>
      </c>
      <c r="S18">
        <v>48</v>
      </c>
      <c r="T18">
        <v>2352</v>
      </c>
      <c r="U18" t="s">
        <v>50</v>
      </c>
      <c r="V18">
        <v>0</v>
      </c>
      <c r="W18" t="s">
        <v>148</v>
      </c>
    </row>
    <row r="19" spans="1:23" x14ac:dyDescent="0.25">
      <c r="A19">
        <v>1057</v>
      </c>
      <c r="B19" s="1">
        <v>45331</v>
      </c>
      <c r="C19" s="1">
        <v>45332</v>
      </c>
      <c r="D19" t="s">
        <v>108</v>
      </c>
      <c r="E19" t="s">
        <v>109</v>
      </c>
      <c r="F19" t="s">
        <v>84</v>
      </c>
      <c r="G19" t="s">
        <v>85</v>
      </c>
      <c r="H19" t="s">
        <v>86</v>
      </c>
      <c r="I19" t="s">
        <v>46</v>
      </c>
      <c r="J19" t="s">
        <v>47</v>
      </c>
      <c r="K19" t="s">
        <v>48</v>
      </c>
      <c r="L19">
        <v>10</v>
      </c>
      <c r="M19">
        <v>500</v>
      </c>
      <c r="N19">
        <v>0.15</v>
      </c>
      <c r="O19">
        <v>263</v>
      </c>
      <c r="P19" t="s">
        <v>41</v>
      </c>
      <c r="Q19" t="s">
        <v>37</v>
      </c>
      <c r="R19">
        <v>5000</v>
      </c>
      <c r="S19">
        <v>750</v>
      </c>
      <c r="T19">
        <v>4250</v>
      </c>
      <c r="U19" t="s">
        <v>28</v>
      </c>
      <c r="V19">
        <v>0</v>
      </c>
      <c r="W19" t="s">
        <v>148</v>
      </c>
    </row>
    <row r="20" spans="1:23" x14ac:dyDescent="0.25">
      <c r="A20">
        <v>1060</v>
      </c>
      <c r="B20" s="1">
        <v>45331</v>
      </c>
      <c r="C20" s="1">
        <v>45336</v>
      </c>
      <c r="D20" t="s">
        <v>110</v>
      </c>
      <c r="E20" t="s">
        <v>111</v>
      </c>
      <c r="F20" t="s">
        <v>89</v>
      </c>
      <c r="G20" t="s">
        <v>61</v>
      </c>
      <c r="H20" t="s">
        <v>62</v>
      </c>
      <c r="I20" t="s">
        <v>38</v>
      </c>
      <c r="J20" t="s">
        <v>39</v>
      </c>
      <c r="K20" t="s">
        <v>40</v>
      </c>
      <c r="L20">
        <v>8</v>
      </c>
      <c r="M20">
        <v>300</v>
      </c>
      <c r="N20">
        <v>0.15</v>
      </c>
      <c r="O20">
        <v>240</v>
      </c>
      <c r="P20" t="s">
        <v>49</v>
      </c>
      <c r="Q20" t="s">
        <v>37</v>
      </c>
      <c r="R20">
        <v>2400</v>
      </c>
      <c r="S20">
        <v>360</v>
      </c>
      <c r="T20">
        <v>2040</v>
      </c>
      <c r="U20" t="s">
        <v>28</v>
      </c>
      <c r="V20">
        <v>0</v>
      </c>
      <c r="W20" t="s">
        <v>148</v>
      </c>
    </row>
    <row r="21" spans="1:23" x14ac:dyDescent="0.25">
      <c r="A21">
        <v>1061</v>
      </c>
      <c r="B21" s="1">
        <v>45345</v>
      </c>
      <c r="C21" s="1">
        <v>45348</v>
      </c>
      <c r="D21" t="s">
        <v>112</v>
      </c>
      <c r="E21" t="s">
        <v>113</v>
      </c>
      <c r="F21" t="s">
        <v>67</v>
      </c>
      <c r="G21" t="s">
        <v>45</v>
      </c>
      <c r="H21" t="s">
        <v>22</v>
      </c>
      <c r="I21" t="s">
        <v>68</v>
      </c>
      <c r="J21" t="s">
        <v>69</v>
      </c>
      <c r="K21" t="s">
        <v>53</v>
      </c>
      <c r="L21">
        <v>4</v>
      </c>
      <c r="M21">
        <v>800</v>
      </c>
      <c r="N21">
        <v>0.15</v>
      </c>
      <c r="O21">
        <v>49</v>
      </c>
      <c r="P21" t="s">
        <v>49</v>
      </c>
      <c r="Q21" t="s">
        <v>37</v>
      </c>
      <c r="R21">
        <v>3200</v>
      </c>
      <c r="S21">
        <v>480</v>
      </c>
      <c r="T21">
        <v>2720</v>
      </c>
      <c r="U21" t="s">
        <v>28</v>
      </c>
      <c r="V21">
        <v>0</v>
      </c>
      <c r="W21" t="s">
        <v>148</v>
      </c>
    </row>
    <row r="22" spans="1:23" x14ac:dyDescent="0.25">
      <c r="A22">
        <v>1063</v>
      </c>
      <c r="B22" s="1">
        <v>45301</v>
      </c>
      <c r="C22" s="1">
        <v>45303</v>
      </c>
      <c r="D22" t="s">
        <v>114</v>
      </c>
      <c r="E22" t="s">
        <v>115</v>
      </c>
      <c r="F22" t="s">
        <v>31</v>
      </c>
      <c r="G22" t="s">
        <v>32</v>
      </c>
      <c r="H22" t="s">
        <v>33</v>
      </c>
      <c r="I22" t="s">
        <v>46</v>
      </c>
      <c r="J22" t="s">
        <v>47</v>
      </c>
      <c r="K22" t="s">
        <v>48</v>
      </c>
      <c r="L22">
        <v>7</v>
      </c>
      <c r="M22">
        <v>1500</v>
      </c>
      <c r="N22">
        <v>0.2</v>
      </c>
      <c r="O22">
        <v>248</v>
      </c>
      <c r="P22" t="s">
        <v>41</v>
      </c>
      <c r="Q22" t="s">
        <v>37</v>
      </c>
      <c r="R22">
        <v>10500</v>
      </c>
      <c r="S22">
        <v>2100</v>
      </c>
      <c r="T22">
        <v>8400</v>
      </c>
      <c r="U22" t="s">
        <v>50</v>
      </c>
      <c r="V22">
        <v>0</v>
      </c>
      <c r="W22" t="s">
        <v>148</v>
      </c>
    </row>
    <row r="23" spans="1:23" x14ac:dyDescent="0.25">
      <c r="A23">
        <v>1066</v>
      </c>
      <c r="B23" s="1">
        <v>45319</v>
      </c>
      <c r="C23" s="1">
        <v>45323</v>
      </c>
      <c r="D23" t="s">
        <v>116</v>
      </c>
      <c r="E23" t="s">
        <v>117</v>
      </c>
      <c r="F23" t="s">
        <v>21</v>
      </c>
      <c r="G23" t="s">
        <v>21</v>
      </c>
      <c r="H23" t="s">
        <v>22</v>
      </c>
      <c r="I23" t="s">
        <v>46</v>
      </c>
      <c r="J23" t="s">
        <v>47</v>
      </c>
      <c r="K23" t="s">
        <v>48</v>
      </c>
      <c r="L23">
        <v>6</v>
      </c>
      <c r="M23">
        <v>3000</v>
      </c>
      <c r="N23">
        <v>0.05</v>
      </c>
      <c r="O23">
        <v>440</v>
      </c>
      <c r="P23" t="s">
        <v>41</v>
      </c>
      <c r="Q23" t="s">
        <v>37</v>
      </c>
      <c r="R23">
        <v>18000</v>
      </c>
      <c r="S23">
        <v>900</v>
      </c>
      <c r="T23">
        <v>17100</v>
      </c>
      <c r="U23" t="s">
        <v>50</v>
      </c>
      <c r="V23">
        <v>0</v>
      </c>
      <c r="W23" t="s">
        <v>148</v>
      </c>
    </row>
    <row r="24" spans="1:23" x14ac:dyDescent="0.25">
      <c r="A24">
        <v>1067</v>
      </c>
      <c r="B24" s="1">
        <v>45331</v>
      </c>
      <c r="C24" s="1">
        <v>45336</v>
      </c>
      <c r="D24" t="s">
        <v>118</v>
      </c>
      <c r="E24" t="s">
        <v>119</v>
      </c>
      <c r="F24" t="s">
        <v>21</v>
      </c>
      <c r="G24" t="s">
        <v>21</v>
      </c>
      <c r="H24" t="s">
        <v>22</v>
      </c>
      <c r="I24" t="s">
        <v>46</v>
      </c>
      <c r="J24" t="s">
        <v>47</v>
      </c>
      <c r="K24" t="s">
        <v>48</v>
      </c>
      <c r="L24">
        <v>10</v>
      </c>
      <c r="M24">
        <v>55000</v>
      </c>
      <c r="N24">
        <v>0.02</v>
      </c>
      <c r="O24">
        <v>52</v>
      </c>
      <c r="P24" t="s">
        <v>41</v>
      </c>
      <c r="Q24" t="s">
        <v>37</v>
      </c>
      <c r="R24">
        <v>550000</v>
      </c>
      <c r="S24">
        <v>11000</v>
      </c>
      <c r="T24">
        <v>539000</v>
      </c>
      <c r="U24" t="s">
        <v>28</v>
      </c>
      <c r="V24">
        <v>0</v>
      </c>
      <c r="W24" t="s">
        <v>148</v>
      </c>
    </row>
    <row r="25" spans="1:23" x14ac:dyDescent="0.25">
      <c r="A25">
        <v>1070</v>
      </c>
      <c r="B25" s="1">
        <v>45306</v>
      </c>
      <c r="C25" s="1">
        <v>45307</v>
      </c>
      <c r="D25" t="s">
        <v>120</v>
      </c>
      <c r="E25" t="s">
        <v>121</v>
      </c>
      <c r="F25" t="s">
        <v>21</v>
      </c>
      <c r="G25" t="s">
        <v>21</v>
      </c>
      <c r="H25" t="s">
        <v>22</v>
      </c>
      <c r="I25" t="s">
        <v>80</v>
      </c>
      <c r="J25" t="s">
        <v>81</v>
      </c>
      <c r="K25" t="s">
        <v>25</v>
      </c>
      <c r="L25">
        <v>4</v>
      </c>
      <c r="M25">
        <v>500</v>
      </c>
      <c r="N25">
        <v>0.02</v>
      </c>
      <c r="O25">
        <v>328</v>
      </c>
      <c r="P25" t="s">
        <v>36</v>
      </c>
      <c r="Q25" t="s">
        <v>37</v>
      </c>
      <c r="R25">
        <v>2000</v>
      </c>
      <c r="S25">
        <v>40</v>
      </c>
      <c r="T25">
        <v>1960</v>
      </c>
      <c r="U25" t="s">
        <v>50</v>
      </c>
      <c r="V25">
        <v>0</v>
      </c>
      <c r="W25" t="s">
        <v>148</v>
      </c>
    </row>
    <row r="26" spans="1:23" x14ac:dyDescent="0.25">
      <c r="A26">
        <v>1071</v>
      </c>
      <c r="B26" s="1">
        <v>45300</v>
      </c>
      <c r="C26" s="1">
        <v>45304</v>
      </c>
      <c r="D26" t="s">
        <v>122</v>
      </c>
      <c r="E26" t="s">
        <v>123</v>
      </c>
      <c r="F26" t="s">
        <v>31</v>
      </c>
      <c r="G26" t="s">
        <v>32</v>
      </c>
      <c r="H26" t="s">
        <v>33</v>
      </c>
      <c r="I26" t="s">
        <v>34</v>
      </c>
      <c r="J26" t="s">
        <v>35</v>
      </c>
      <c r="K26" t="s">
        <v>25</v>
      </c>
      <c r="L26">
        <v>4</v>
      </c>
      <c r="M26">
        <v>7000</v>
      </c>
      <c r="N26">
        <v>0.1</v>
      </c>
      <c r="O26">
        <v>402</v>
      </c>
      <c r="P26" t="s">
        <v>49</v>
      </c>
      <c r="Q26" t="s">
        <v>37</v>
      </c>
      <c r="R26">
        <v>28000</v>
      </c>
      <c r="S26">
        <v>2800</v>
      </c>
      <c r="T26">
        <v>25200</v>
      </c>
      <c r="U26" t="s">
        <v>50</v>
      </c>
      <c r="V26">
        <v>0</v>
      </c>
      <c r="W26" t="s">
        <v>148</v>
      </c>
    </row>
    <row r="27" spans="1:23" x14ac:dyDescent="0.25">
      <c r="A27">
        <v>1074</v>
      </c>
      <c r="B27" s="1">
        <v>45330</v>
      </c>
      <c r="C27" s="1">
        <v>45331</v>
      </c>
      <c r="D27" t="s">
        <v>124</v>
      </c>
      <c r="E27" t="s">
        <v>125</v>
      </c>
      <c r="F27" t="s">
        <v>60</v>
      </c>
      <c r="G27" t="s">
        <v>61</v>
      </c>
      <c r="H27" t="s">
        <v>62</v>
      </c>
      <c r="I27" t="s">
        <v>80</v>
      </c>
      <c r="J27" t="s">
        <v>81</v>
      </c>
      <c r="K27" t="s">
        <v>25</v>
      </c>
      <c r="L27">
        <v>6</v>
      </c>
      <c r="M27">
        <v>12000</v>
      </c>
      <c r="N27">
        <v>0.15</v>
      </c>
      <c r="O27">
        <v>348</v>
      </c>
      <c r="P27" t="s">
        <v>49</v>
      </c>
      <c r="Q27" t="s">
        <v>37</v>
      </c>
      <c r="R27">
        <v>72000</v>
      </c>
      <c r="S27">
        <v>10800</v>
      </c>
      <c r="T27">
        <v>61200</v>
      </c>
      <c r="U27" t="s">
        <v>28</v>
      </c>
      <c r="V27">
        <v>0</v>
      </c>
      <c r="W27" t="s">
        <v>148</v>
      </c>
    </row>
    <row r="28" spans="1:23" x14ac:dyDescent="0.25">
      <c r="A28">
        <v>1077</v>
      </c>
      <c r="B28" s="1">
        <v>45319</v>
      </c>
      <c r="C28" s="1">
        <v>45324</v>
      </c>
      <c r="D28" t="s">
        <v>126</v>
      </c>
      <c r="E28" t="s">
        <v>127</v>
      </c>
      <c r="F28" t="s">
        <v>72</v>
      </c>
      <c r="G28" t="s">
        <v>73</v>
      </c>
      <c r="H28" t="s">
        <v>33</v>
      </c>
      <c r="I28" t="s">
        <v>51</v>
      </c>
      <c r="J28" t="s">
        <v>52</v>
      </c>
      <c r="K28" t="s">
        <v>53</v>
      </c>
      <c r="L28">
        <v>4</v>
      </c>
      <c r="M28">
        <v>200</v>
      </c>
      <c r="N28">
        <v>0.1</v>
      </c>
      <c r="O28">
        <v>461</v>
      </c>
      <c r="P28" t="s">
        <v>41</v>
      </c>
      <c r="Q28" t="s">
        <v>37</v>
      </c>
      <c r="R28">
        <v>800</v>
      </c>
      <c r="S28">
        <v>80</v>
      </c>
      <c r="T28">
        <v>720</v>
      </c>
      <c r="U28" t="s">
        <v>50</v>
      </c>
      <c r="V28">
        <v>0</v>
      </c>
      <c r="W28" t="s">
        <v>148</v>
      </c>
    </row>
    <row r="29" spans="1:23" x14ac:dyDescent="0.25">
      <c r="A29">
        <v>1078</v>
      </c>
      <c r="B29" s="1">
        <v>45340</v>
      </c>
      <c r="C29" s="1">
        <v>45344</v>
      </c>
      <c r="D29" t="s">
        <v>128</v>
      </c>
      <c r="E29" t="s">
        <v>129</v>
      </c>
      <c r="F29" t="s">
        <v>60</v>
      </c>
      <c r="G29" t="s">
        <v>61</v>
      </c>
      <c r="H29" t="s">
        <v>62</v>
      </c>
      <c r="I29" t="s">
        <v>34</v>
      </c>
      <c r="J29" t="s">
        <v>35</v>
      </c>
      <c r="K29" t="s">
        <v>25</v>
      </c>
      <c r="L29">
        <v>7</v>
      </c>
      <c r="M29">
        <v>1500</v>
      </c>
      <c r="N29">
        <v>0.02</v>
      </c>
      <c r="O29">
        <v>263</v>
      </c>
      <c r="P29" t="s">
        <v>49</v>
      </c>
      <c r="Q29" t="s">
        <v>37</v>
      </c>
      <c r="R29">
        <v>10500</v>
      </c>
      <c r="S29">
        <v>210</v>
      </c>
      <c r="T29">
        <v>10290</v>
      </c>
      <c r="U29" t="s">
        <v>28</v>
      </c>
      <c r="V29">
        <v>0</v>
      </c>
      <c r="W29" t="s">
        <v>148</v>
      </c>
    </row>
    <row r="30" spans="1:23" x14ac:dyDescent="0.25">
      <c r="A30">
        <v>1084</v>
      </c>
      <c r="B30" s="1">
        <v>45299</v>
      </c>
      <c r="C30" s="1">
        <v>45304</v>
      </c>
      <c r="D30" t="s">
        <v>130</v>
      </c>
      <c r="E30" t="s">
        <v>131</v>
      </c>
      <c r="F30" t="s">
        <v>44</v>
      </c>
      <c r="G30" t="s">
        <v>45</v>
      </c>
      <c r="H30" t="s">
        <v>22</v>
      </c>
      <c r="I30" t="s">
        <v>54</v>
      </c>
      <c r="J30" t="s">
        <v>55</v>
      </c>
      <c r="K30" t="s">
        <v>25</v>
      </c>
      <c r="L30">
        <v>4</v>
      </c>
      <c r="M30">
        <v>7000</v>
      </c>
      <c r="N30">
        <v>0.1</v>
      </c>
      <c r="O30">
        <v>380</v>
      </c>
      <c r="P30" t="s">
        <v>49</v>
      </c>
      <c r="Q30" t="s">
        <v>37</v>
      </c>
      <c r="R30">
        <v>28000</v>
      </c>
      <c r="S30">
        <v>2800</v>
      </c>
      <c r="T30">
        <v>25200</v>
      </c>
      <c r="U30" t="s">
        <v>50</v>
      </c>
      <c r="V30">
        <v>0</v>
      </c>
      <c r="W30" t="s">
        <v>148</v>
      </c>
    </row>
    <row r="31" spans="1:23" x14ac:dyDescent="0.25">
      <c r="A31">
        <v>1087</v>
      </c>
      <c r="B31" s="1">
        <v>45310</v>
      </c>
      <c r="C31" s="1">
        <v>45314</v>
      </c>
      <c r="D31" t="s">
        <v>132</v>
      </c>
      <c r="E31" t="s">
        <v>133</v>
      </c>
      <c r="F31" t="s">
        <v>84</v>
      </c>
      <c r="G31" t="s">
        <v>85</v>
      </c>
      <c r="H31" t="s">
        <v>86</v>
      </c>
      <c r="I31" t="s">
        <v>68</v>
      </c>
      <c r="J31" t="s">
        <v>69</v>
      </c>
      <c r="K31" t="s">
        <v>53</v>
      </c>
      <c r="L31">
        <v>6</v>
      </c>
      <c r="M31">
        <v>300</v>
      </c>
      <c r="N31">
        <v>0.02</v>
      </c>
      <c r="O31">
        <v>139</v>
      </c>
      <c r="P31" t="s">
        <v>41</v>
      </c>
      <c r="Q31" t="s">
        <v>37</v>
      </c>
      <c r="R31">
        <v>1800</v>
      </c>
      <c r="S31">
        <v>36</v>
      </c>
      <c r="T31">
        <v>1764</v>
      </c>
      <c r="U31" t="s">
        <v>50</v>
      </c>
      <c r="V31">
        <v>0</v>
      </c>
      <c r="W31" t="s">
        <v>148</v>
      </c>
    </row>
    <row r="32" spans="1:23" x14ac:dyDescent="0.25">
      <c r="A32">
        <v>1092</v>
      </c>
      <c r="B32" s="1">
        <v>45296</v>
      </c>
      <c r="C32" s="1">
        <v>45298</v>
      </c>
      <c r="D32" t="s">
        <v>134</v>
      </c>
      <c r="E32" t="s">
        <v>135</v>
      </c>
      <c r="F32" t="s">
        <v>21</v>
      </c>
      <c r="G32" t="s">
        <v>21</v>
      </c>
      <c r="H32" t="s">
        <v>22</v>
      </c>
      <c r="I32" t="s">
        <v>46</v>
      </c>
      <c r="J32" t="s">
        <v>47</v>
      </c>
      <c r="K32" t="s">
        <v>48</v>
      </c>
      <c r="L32">
        <v>8</v>
      </c>
      <c r="M32">
        <v>55000</v>
      </c>
      <c r="N32">
        <v>0.15</v>
      </c>
      <c r="O32">
        <v>159</v>
      </c>
      <c r="P32" t="s">
        <v>26</v>
      </c>
      <c r="Q32" t="s">
        <v>37</v>
      </c>
      <c r="R32">
        <v>440000</v>
      </c>
      <c r="S32">
        <v>66000</v>
      </c>
      <c r="T32">
        <v>374000</v>
      </c>
      <c r="U32" t="s">
        <v>50</v>
      </c>
      <c r="V32">
        <v>0</v>
      </c>
      <c r="W32" t="s">
        <v>148</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3984A-4AE1-4360-B685-22B44BD7A556}">
  <dimension ref="AB3:AD9"/>
  <sheetViews>
    <sheetView showGridLines="0" tabSelected="1" zoomScale="55" zoomScaleNormal="55" workbookViewId="0">
      <selection activeCell="AA23" sqref="AA23"/>
    </sheetView>
  </sheetViews>
  <sheetFormatPr defaultRowHeight="15" x14ac:dyDescent="0.25"/>
  <cols>
    <col min="28" max="28" width="18.7109375" customWidth="1"/>
  </cols>
  <sheetData>
    <row r="3" spans="28:30" x14ac:dyDescent="0.25">
      <c r="AD3">
        <f>GETPIVOTDATA("Total Sales",Sheet2!$N$18)</f>
        <v>48272</v>
      </c>
    </row>
    <row r="5" spans="28:30" x14ac:dyDescent="0.25">
      <c r="AB5" s="14"/>
    </row>
    <row r="6" spans="28:30" x14ac:dyDescent="0.25">
      <c r="AB6">
        <f>GETPIVOTDATA("OrderID",Sheet2!$N$15)</f>
        <v>100</v>
      </c>
    </row>
    <row r="8" spans="28:30" x14ac:dyDescent="0.25">
      <c r="AC8">
        <f>Sheet1!M8</f>
        <v>0</v>
      </c>
    </row>
    <row r="9" spans="28:30" x14ac:dyDescent="0.25">
      <c r="AB9" s="15">
        <f>GETPIVOTDATA("Net Sales",Sheet2!$M$7)</f>
        <v>4351346</v>
      </c>
    </row>
  </sheetData>
  <sheetProtection algorithmName="SHA-512" hashValue="WqKz2X7INDfOae/2z0wQw9dB3oR586y/eWFkL8M2uRpsgqErozKFlokr2d2u5jwKflUWCan66LMaRr5scEWxUw==" saltValue="cGY6aOJnU55iqfR1ihVDJA==" spinCount="100000"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6712C9C-6416-4394-A338-94EC36D8E40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ecommerce_100_rows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meezan ali</dc:creator>
  <cp:lastModifiedBy>meezan ali</cp:lastModifiedBy>
  <dcterms:created xsi:type="dcterms:W3CDTF">2026-04-01T09:30:29Z</dcterms:created>
  <dcterms:modified xsi:type="dcterms:W3CDTF">2026-04-05T07:48:00Z</dcterms:modified>
</cp:coreProperties>
</file>